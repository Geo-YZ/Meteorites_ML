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yz908\OneDrive\A文章\3、无球粒陨石大数据\无球粒陨石分类\Data\"/>
    </mc:Choice>
  </mc:AlternateContent>
  <xr:revisionPtr revIDLastSave="0" documentId="13_ncr:1_{92678D37-80AC-4F0C-8C7D-AFD69FCAA930}" xr6:coauthVersionLast="47" xr6:coauthVersionMax="47" xr10:uidLastSave="{00000000-0000-0000-0000-000000000000}"/>
  <bookViews>
    <workbookView xWindow="-110" yWindow="-110" windowWidth="25820" windowHeight="13900" xr2:uid="{00000000-000D-0000-FFFF-FFFF00000000}"/>
  </bookViews>
  <sheets>
    <sheet name="Clean data" sheetId="1" r:id="rId1"/>
  </sheets>
  <definedNames>
    <definedName name="_xlnm._FilterDatabase" localSheetId="0" hidden="1">'Clean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3" i="1" l="1"/>
  <c r="W6" i="1"/>
  <c r="W10" i="1"/>
  <c r="W19" i="1"/>
  <c r="W15" i="1"/>
</calcChain>
</file>

<file path=xl/sharedStrings.xml><?xml version="1.0" encoding="utf-8"?>
<sst xmlns="http://schemas.openxmlformats.org/spreadsheetml/2006/main" count="4562" uniqueCount="766">
  <si>
    <t>Na</t>
  </si>
  <si>
    <t>Mg</t>
  </si>
  <si>
    <t>Al</t>
  </si>
  <si>
    <t>Si</t>
  </si>
  <si>
    <t>K</t>
  </si>
  <si>
    <t>Ca</t>
  </si>
  <si>
    <t>Ti</t>
  </si>
  <si>
    <t>Cr</t>
  </si>
  <si>
    <t>Mn</t>
  </si>
  <si>
    <t>Fe</t>
  </si>
  <si>
    <t>Mg#</t>
    <phoneticPr fontId="1" type="noConversion"/>
  </si>
  <si>
    <t>Cr#</t>
    <phoneticPr fontId="1" type="noConversion"/>
  </si>
  <si>
    <t>Ref</t>
    <phoneticPr fontId="1" type="noConversion"/>
  </si>
  <si>
    <t>References</t>
    <phoneticPr fontId="1" type="noConversion"/>
  </si>
  <si>
    <t>Type</t>
    <phoneticPr fontId="1" type="noConversion"/>
  </si>
  <si>
    <t>LAPN = 6</t>
    <phoneticPr fontId="1" type="noConversion"/>
  </si>
  <si>
    <t>Korotev and Zeigler (2015)</t>
  </si>
  <si>
    <t>Korotev R L, Zeigler R A. ANSMET meteorites from the Moon[J]. 35 Seasons of US Antarctic Meteorites (1976–2010) A Pictorial Guide to the Collection, 2014: 101-130.</t>
  </si>
  <si>
    <t>NWA 032/479</t>
    <phoneticPr fontId="1" type="noConversion"/>
  </si>
  <si>
    <t>Fagan et al. (2002)</t>
    <phoneticPr fontId="1" type="noConversion"/>
  </si>
  <si>
    <t>Fagan T J, Taylor G J, Keil K, et al. Northwest Africa 032: Product of lunar volcanism[J]. Meteoritics &amp; Planetary Science, 2002, 37(3): 371-394.</t>
    <phoneticPr fontId="1" type="noConversion"/>
  </si>
  <si>
    <t>Yamato 793169</t>
  </si>
  <si>
    <t>Yanai and Kojima (1991)</t>
    <phoneticPr fontId="1" type="noConversion"/>
  </si>
  <si>
    <t>Yanai K, Kojima H. Varieties of lunar meteorites recovered from Antarctica[C]//Proceedings of the NIPR Symposium on Antarctic Meteorites. National Institute of Polar Research, 1991, 4: 70-90.</t>
    <phoneticPr fontId="1" type="noConversion"/>
  </si>
  <si>
    <t>Northeast Africa 003</t>
  </si>
  <si>
    <t>Haloda et al. (2006)</t>
    <phoneticPr fontId="1" type="noConversion"/>
  </si>
  <si>
    <t>Haloda J, Korotev R L, Tycova P, et al. Lunar meteorite Northeast Africa 003-A: a new lunar mare basalt[C]//37th Annual Lunar and Planetary Science Conference. 2006: 2269.</t>
    <phoneticPr fontId="1" type="noConversion"/>
  </si>
  <si>
    <t>LAP 02205</t>
  </si>
  <si>
    <t>Zeigler et al. (2005)</t>
    <phoneticPr fontId="1" type="noConversion"/>
  </si>
  <si>
    <t>Zeigler R A, Korotev R L, Jolliff B L, et al. Petrography and geochemistry of the LaPaz Icefield basaltic lunar meteorite and source crater pairing with Northwest Africa 032[J]. Meteoritics &amp; Planetary Science, 2005, 40(7): 1073-1101.</t>
    <phoneticPr fontId="1" type="noConversion"/>
  </si>
  <si>
    <t>MIL5035</t>
    <phoneticPr fontId="1" type="noConversion"/>
  </si>
  <si>
    <t>Asuka 881757</t>
    <phoneticPr fontId="1" type="noConversion"/>
  </si>
  <si>
    <t>Yanai and Kojima (1984)</t>
    <phoneticPr fontId="1" type="noConversion"/>
  </si>
  <si>
    <t>Yanai K, Kojima H. Yamato-791197: A lunar meteorite in the Japanese collection of Antarctic meteorites[J]. Memoirs of National Institute of Polar Research. Special issue, 1984, 35: 18-34.</t>
    <phoneticPr fontId="1" type="noConversion"/>
  </si>
  <si>
    <t>MIL 05035</t>
    <phoneticPr fontId="1" type="noConversion"/>
  </si>
  <si>
    <t>Liu et al. (2007)</t>
  </si>
  <si>
    <t>Liu Y, Hill E, Patchen A, et al. New lunar meteorite MIL 05035: Petrography and mineralogy[C]//38th Annual Lunar and Planetary Science Conference. 2007 (1338): 2103.</t>
    <phoneticPr fontId="1" type="noConversion"/>
  </si>
  <si>
    <t>Dhofar 287</t>
  </si>
  <si>
    <t>Korotev (2012)</t>
    <phoneticPr fontId="1" type="noConversion"/>
  </si>
  <si>
    <t>Korotev R L. Lunar meteorites from Oman[J]. Meteoritics &amp; Planetary Science, 2012, 47(8): 1365-1402.</t>
  </si>
  <si>
    <t>Dhofar 490</t>
  </si>
  <si>
    <t>Dhofar 1084</t>
  </si>
  <si>
    <t>Dhofar 490/1084</t>
  </si>
  <si>
    <t>Dhofar 490/1084</t>
    <phoneticPr fontId="1" type="noConversion"/>
  </si>
  <si>
    <t>JaH 348</t>
  </si>
  <si>
    <t>MIL90034</t>
    <phoneticPr fontId="1" type="noConversion"/>
  </si>
  <si>
    <t>MIL90036</t>
    <phoneticPr fontId="1" type="noConversion"/>
  </si>
  <si>
    <t>Lindstrom et al. (1991)</t>
    <phoneticPr fontId="1" type="noConversion"/>
  </si>
  <si>
    <t>Lindstrom M M, Wentworth S J, Martinez R R, et al. Geochemistry and petrography of the MacAlpine Hills lunar meteorites[J]. Geochimica et Cosmochimica Acta, 1991, 55(11): 3089-3103.</t>
  </si>
  <si>
    <t>Y86032</t>
    <phoneticPr fontId="1" type="noConversion"/>
  </si>
  <si>
    <t>Y-86032</t>
  </si>
  <si>
    <t>Nyquist et al. (2006)</t>
    <phoneticPr fontId="1" type="noConversion"/>
  </si>
  <si>
    <t>Nyquist L, Bogard D, Yamaguchi A, et al. Feldspathic clasts in Yamato-86032: Remnants of the lunar crust with implications for its formation and impact history[J]. Geochimica et Cosmochimica Acta, 2006, 70(24): 5990-6015.</t>
  </si>
  <si>
    <t>Y-82193</t>
  </si>
  <si>
    <t>Y-82192/86032</t>
    <phoneticPr fontId="1" type="noConversion"/>
  </si>
  <si>
    <t>Warren and Kallemeyn (1991b)</t>
    <phoneticPr fontId="1" type="noConversion"/>
  </si>
  <si>
    <t>Warren P H, Kallemeyn G W. Geochemical investigation of five lunar meteorites: Implications for the composition, origin and evolution of the lunar crust[C]//Proceedings of the NIPR Symposium on Antarctic Meteorites. National Institute of Polar Research, 1991, 4: 91-117.</t>
    <phoneticPr fontId="1" type="noConversion"/>
  </si>
  <si>
    <t>Yamato-82192</t>
  </si>
  <si>
    <t>Bischoff et al. (1987)</t>
    <phoneticPr fontId="1" type="noConversion"/>
  </si>
  <si>
    <t>Bischoff A, Palme H, Weber H W, et al. Petrography, shock history, chemical composition and noble gas content of the lunar meteorites Yamato-82192 and-82193[J]. Memoirs of National Institute of Polar Research. Special issue, 1987, 46: 21-42.</t>
    <phoneticPr fontId="1" type="noConversion"/>
  </si>
  <si>
    <t>MIL90070</t>
    <phoneticPr fontId="1" type="noConversion"/>
  </si>
  <si>
    <t>MIL90075</t>
    <phoneticPr fontId="1" type="noConversion"/>
  </si>
  <si>
    <t>Dar al Gani 262</t>
  </si>
  <si>
    <t>Bischoff et al. (1998)</t>
    <phoneticPr fontId="1" type="noConversion"/>
  </si>
  <si>
    <t>Bischoff A, Weber D, Clayton R N, et al. Petrology, chemistry, and isotopic compositions of the lunar highland regolith breccia Dar al Gani 262[J]. Meteoritics &amp; Planetary Science, 1998, 33(6): 1243-1257.</t>
  </si>
  <si>
    <t>NWA 11788</t>
  </si>
  <si>
    <t>Hulsey and O'Sullivan (2024)</t>
    <phoneticPr fontId="1" type="noConversion"/>
  </si>
  <si>
    <t>Hulsey C R, O'Sullivan K M. Petrographic and geochemical analysis of lunar meteorite NWA 11788: Parallels with Luna 20 and the Apollo magnesian granulites[J]. Meteoritics &amp; Planetary Science, 2024, 59(10): 2744-2768.</t>
  </si>
  <si>
    <t>NWA 8733</t>
    <phoneticPr fontId="1" type="noConversion"/>
  </si>
  <si>
    <t>NWA 10048</t>
    <phoneticPr fontId="1" type="noConversion"/>
  </si>
  <si>
    <t>NWA 10902</t>
    <phoneticPr fontId="1" type="noConversion"/>
  </si>
  <si>
    <t>Dhofar 1528</t>
  </si>
  <si>
    <t>Dhofar 081</t>
  </si>
  <si>
    <t>Dhofar 280</t>
  </si>
  <si>
    <t>Dhofar 910</t>
  </si>
  <si>
    <t>Dhofar 081/280/910</t>
  </si>
  <si>
    <t>Dhofar 960</t>
  </si>
  <si>
    <t>Dhofar 925/960/961</t>
  </si>
  <si>
    <t>SaU 449</t>
  </si>
  <si>
    <t>Dhofar 026</t>
  </si>
  <si>
    <t>Cohen et al. (2004)</t>
  </si>
  <si>
    <t>Cohen B A, James O B, Taylor L A, et al. Lunar highland meteorite Dhofar 026 and Apollo sample 15418: Two strongly shocked, partially melted, granulitic breccias[J]. Meteoritics &amp; Planetary Science, 2004, 39(9): 1419-1447.</t>
  </si>
  <si>
    <t>Dho 026</t>
  </si>
  <si>
    <t>Mészáros et al. (2016)</t>
  </si>
  <si>
    <t>Mészáros M, Hofmann B A, Lanari P, et al. Petrology and geochemistry of feldspathic impact‐melt breccia Abar al'Uj 012, the first lunar meteorite from Saudi Arabia[J]. Meteoritics &amp; Planetary Science, 2016, 51(10): 1830-1848.</t>
  </si>
  <si>
    <t>Dhofar 026</t>
    <phoneticPr fontId="1" type="noConversion"/>
  </si>
  <si>
    <t>Taylor et al. (2001)</t>
    <phoneticPr fontId="1" type="noConversion"/>
  </si>
  <si>
    <t>Taylor L A, Nazarov M A, Cohen B A, et al. Bulk chemistry and oxygen isotopic compositions of lunar meteorites Dhofar 025 and Dhofar 026[C]//Lunar and Planetary Science Conference. 2001: 1985.</t>
  </si>
  <si>
    <t>Dhofar 302</t>
  </si>
  <si>
    <t>Dhofar 1436</t>
  </si>
  <si>
    <t>Dhofar 1443</t>
  </si>
  <si>
    <t>Dhofar 1436/1443</t>
  </si>
  <si>
    <t>Dhofar 1527</t>
  </si>
  <si>
    <t>Shişr 162</t>
  </si>
  <si>
    <t>Shişr 166</t>
  </si>
  <si>
    <t>Dhofar 489 et al.</t>
  </si>
  <si>
    <t>Korotev et al. (2006)</t>
    <phoneticPr fontId="1" type="noConversion"/>
  </si>
  <si>
    <t>Korotev R L, Zeigler R A, Jolliff B L. Feldspathic lunar meteorites Pecora Escarpment 02007 and Dhofar 489: Contamination of the surface of the lunar highlands by post-basin impacts[J]. Geochimica et Cosmochimica Acta, 2006, 70(24): 5935-5956.</t>
  </si>
  <si>
    <t>AaU 012</t>
  </si>
  <si>
    <t>NWA 482</t>
  </si>
  <si>
    <t>Takeda et al. (2006)</t>
    <phoneticPr fontId="1" type="noConversion"/>
  </si>
  <si>
    <t>Takeda H, Yamaguchi A, Bogard D D, et al. Magnesian anorthosites and a deep crustal rock from the farside crust of the moon[J]. Earth and Planetary Science Letters, 2006, 247(3-4): 171-184.</t>
  </si>
  <si>
    <t>Dhofar 489 d1</t>
    <phoneticPr fontId="1" type="noConversion"/>
  </si>
  <si>
    <t>Shişr 160</t>
  </si>
  <si>
    <t>MIL7006</t>
    <phoneticPr fontId="1" type="noConversion"/>
  </si>
  <si>
    <t>ALHA81005</t>
  </si>
  <si>
    <t>Palme et al. (1983)</t>
    <phoneticPr fontId="1" type="noConversion"/>
  </si>
  <si>
    <t>Palme H, Spettel B, Weckwerth G, et al. Antarctic meteorite ALHA 81005, a piece from the ancient lunar crust[J]. Geophysical Research Letters, 1983, 10(9): 817-820.</t>
  </si>
  <si>
    <t>Y-791197</t>
    <phoneticPr fontId="1" type="noConversion"/>
  </si>
  <si>
    <t>Ostertag et al. (1986)</t>
    <phoneticPr fontId="1" type="noConversion"/>
  </si>
  <si>
    <t>Ostertag R, Stoffler D, Bischoff A, et al. Lunar meteorite Yamato-791197: Petrography, shock history and chemical composition[J]. Memoirs of National Institute of Polar Research. Special issue, 1986, 41: 17-44.</t>
  </si>
  <si>
    <t>Yamato-79197</t>
    <phoneticPr fontId="1" type="noConversion"/>
  </si>
  <si>
    <t>Fukuoka et al. (1986b)</t>
    <phoneticPr fontId="1" type="noConversion"/>
  </si>
  <si>
    <t>Fukuoka T, Laul J C, Smith M R, et al. Chemistry of Yamato-791197 Antarctic meteorite: Evidence for its lunar highland origin[J]. Memoirs of National Institute of Polar Research. Special issue, 1986, 41: 84-95.</t>
  </si>
  <si>
    <t>Dhofar 1428</t>
  </si>
  <si>
    <t>Korotev  (2012)</t>
    <phoneticPr fontId="1" type="noConversion"/>
  </si>
  <si>
    <t>Korotev, Randy L. "Lunar meteorites from Oman." Meteoritics &amp; Planetary Science 47.8 (2012): 1365-1402.</t>
  </si>
  <si>
    <t>Dhofar 1673</t>
  </si>
  <si>
    <t>Hill et al. (2019)</t>
  </si>
  <si>
    <t>Hill P J A, Osinski G R, Banerjee N R, et al. Petrography and geochemistry of lunar meteorites Dhofar 1673, 1983, and 1984[J]. Meteoritics &amp; Planetary Science, 2019, 54(2): 300-320.</t>
  </si>
  <si>
    <t>PCA 02007</t>
  </si>
  <si>
    <t>Joy et al. (2010)</t>
  </si>
  <si>
    <t>Joy K H, Crawford I A, Russell S S, et al. Lunar meteorite regolith breccias: An in situ study of impact melt composition using LA‐ICP‐MS with implications for the composition of the lunar crust[J]. Meteoritics &amp; Planetary Science, 2010, 45(6): 917-946.</t>
  </si>
  <si>
    <t>MAC 88104</t>
  </si>
  <si>
    <t>MAC 88105</t>
  </si>
  <si>
    <t>Dhofar 301</t>
  </si>
  <si>
    <t>Shişr 161</t>
  </si>
  <si>
    <t>ALHA81005</t>
    <phoneticPr fontId="1" type="noConversion"/>
  </si>
  <si>
    <t>GRA6157</t>
    <phoneticPr fontId="1" type="noConversion"/>
  </si>
  <si>
    <t>LAR6638</t>
    <phoneticPr fontId="1" type="noConversion"/>
  </si>
  <si>
    <t>MAC88104/5</t>
    <phoneticPr fontId="1" type="noConversion"/>
  </si>
  <si>
    <t>PCA2007</t>
    <phoneticPr fontId="1" type="noConversion"/>
  </si>
  <si>
    <t>QUE93/94</t>
    <phoneticPr fontId="1" type="noConversion"/>
  </si>
  <si>
    <t>QUE 93069</t>
  </si>
  <si>
    <t>Korotev et al. (1996)</t>
    <phoneticPr fontId="1" type="noConversion"/>
  </si>
  <si>
    <t>Korotev R L, Jolliff B L, Rockow K M. Lunar meteorite Queen Alexandra Range 93069 and the iron concentration of the lunar highlands surface[J]. Meteoritics &amp; Planetary Science, 1996, 31(6): 909-924.</t>
  </si>
  <si>
    <t>MAC 88104/5</t>
    <phoneticPr fontId="1" type="noConversion"/>
  </si>
  <si>
    <t>A81005</t>
    <phoneticPr fontId="1" type="noConversion"/>
  </si>
  <si>
    <t>Y791197</t>
    <phoneticPr fontId="1" type="noConversion"/>
  </si>
  <si>
    <t>Dhofar 025</t>
    <phoneticPr fontId="1" type="noConversion"/>
  </si>
  <si>
    <t>Y 791197</t>
    <phoneticPr fontId="1" type="noConversion"/>
  </si>
  <si>
    <t>MAC88105</t>
    <phoneticPr fontId="1" type="noConversion"/>
  </si>
  <si>
    <t>Warren and Kallemeyn (1991a)</t>
    <phoneticPr fontId="1" type="noConversion"/>
  </si>
  <si>
    <t>Warren P H, Kallemeyn G W. The MacAlpine Hills lunar meteorite and implications of the lunar meteorites collectively for the composition and origin of the Moon[J]. Geochimica et Cosmochimica Acta, 1991, 55(11): 3123-3138.</t>
  </si>
  <si>
    <t>DaG 400</t>
    <phoneticPr fontId="1" type="noConversion"/>
  </si>
  <si>
    <t>Zipfel et al. (1998)</t>
    <phoneticPr fontId="1" type="noConversion"/>
  </si>
  <si>
    <t>Zipfel J, Spettel B, Palme H, et al. Dar al Gani 400: Chemistry and petrology of the largest lunar meteorite[J]. Meteoritics &amp; Planetary Science, vol. 33, p. A171-A171, 1998, 33: A171-A171.</t>
    <phoneticPr fontId="1" type="noConversion"/>
  </si>
  <si>
    <t>Y-82192</t>
  </si>
  <si>
    <t>Dhofar 489 c</t>
    <phoneticPr fontId="1" type="noConversion"/>
  </si>
  <si>
    <t>Kimura et al. (2018)</t>
    <phoneticPr fontId="1" type="noConversion"/>
  </si>
  <si>
    <t>Kimura, M., et al. "Bulk chemical compositions of Antarctic meteorites in the NIPR collection." Polar Science 15 (2018): 24-28.</t>
    <phoneticPr fontId="1" type="noConversion"/>
  </si>
  <si>
    <t>Kimura et al. (2018)</t>
  </si>
  <si>
    <t>Kimura, M., et al. "Bulk chemical compositions of Antarctic meteorites in the NIPR collection." Polar Science 15 (2018): 24-28.</t>
  </si>
  <si>
    <t>Y983885</t>
  </si>
  <si>
    <t>A-881757</t>
  </si>
  <si>
    <t>Y-791197</t>
  </si>
  <si>
    <t>Y-793169</t>
  </si>
  <si>
    <t>Y981031</t>
  </si>
  <si>
    <t>Cone, K.A., 2021. ApolloBasalt DB_V2, Version Version 1.0. Interdisciplinary Earth Data Alliance (IEDA).</t>
  </si>
  <si>
    <t>Cone, K.A., 2021. ApolloBasalt DB_V2, Version Version 1.0. Interdisciplinary Earth Data Alliance (IEDA).</t>
    <phoneticPr fontId="1" type="noConversion"/>
  </si>
  <si>
    <t>Cone. (2021)</t>
  </si>
  <si>
    <t>Cone. (2021)</t>
    <phoneticPr fontId="1" type="noConversion"/>
  </si>
  <si>
    <t>Lunar Basalt</t>
    <phoneticPr fontId="1" type="noConversion"/>
  </si>
  <si>
    <t>Lunar Anorthosite</t>
    <phoneticPr fontId="1" type="noConversion"/>
  </si>
  <si>
    <t>A-881526</t>
  </si>
  <si>
    <t>Y-02</t>
  </si>
  <si>
    <t>Mittlefehldt, D.W., 2015. Asteroid (4) Vesta: I. The howardite-eucrite-diogenite (HED) clan of meteorites. Geochemistry 75, 155-183.</t>
    <phoneticPr fontId="1" type="noConversion"/>
  </si>
  <si>
    <t>Diogenite</t>
    <phoneticPr fontId="1" type="noConversion"/>
  </si>
  <si>
    <t>ALHA77256</t>
  </si>
  <si>
    <t>T-12</t>
  </si>
  <si>
    <t>M-25</t>
  </si>
  <si>
    <t>Mittlefehldt, D.W., 2015. Asteroid (4) Vesta: I. The howardite-eucrite-diogenite (HED) clan of meteorites. Geochemistry 75, 155-183.</t>
  </si>
  <si>
    <t>Ellemeet</t>
  </si>
  <si>
    <t>W-03</t>
  </si>
  <si>
    <t>M-11</t>
  </si>
  <si>
    <t>Johnstown</t>
  </si>
  <si>
    <t>NWA 1461</t>
  </si>
  <si>
    <t>W-65</t>
  </si>
  <si>
    <t>Shalka</t>
  </si>
  <si>
    <t>Tatahouine</t>
  </si>
  <si>
    <t>Y-692</t>
  </si>
  <si>
    <t>S-77</t>
  </si>
  <si>
    <t>Y-74013</t>
  </si>
  <si>
    <t>T-08</t>
  </si>
  <si>
    <t>Y-74097</t>
  </si>
  <si>
    <t>Y-75032</t>
  </si>
  <si>
    <t>T-04</t>
  </si>
  <si>
    <t>Y-791000</t>
  </si>
  <si>
    <t>T-06</t>
  </si>
  <si>
    <t>Y-791194</t>
  </si>
  <si>
    <t>Y-791199</t>
  </si>
  <si>
    <t>M-52</t>
  </si>
  <si>
    <t>Y-791200</t>
  </si>
  <si>
    <t>Y-791422</t>
  </si>
  <si>
    <t>A-87272</t>
  </si>
  <si>
    <t>Y-09</t>
  </si>
  <si>
    <t>Eucrite</t>
  </si>
  <si>
    <t>A-880702</t>
  </si>
  <si>
    <t>A-880761</t>
  </si>
  <si>
    <t>A-881388</t>
  </si>
  <si>
    <t>A-881467</t>
  </si>
  <si>
    <t>A-881819</t>
  </si>
  <si>
    <t>A-9029</t>
  </si>
  <si>
    <t>Agoult</t>
  </si>
  <si>
    <t>ALH 85001</t>
  </si>
  <si>
    <t>ALHA76005</t>
  </si>
  <si>
    <t>W-05</t>
  </si>
  <si>
    <t>O-06</t>
  </si>
  <si>
    <t>O-01</t>
  </si>
  <si>
    <t>M-17</t>
  </si>
  <si>
    <t>ALHA77302</t>
  </si>
  <si>
    <t>ALHA78040</t>
  </si>
  <si>
    <t>D-10</t>
  </si>
  <si>
    <t>ALHA78132</t>
  </si>
  <si>
    <t>T-09</t>
  </si>
  <si>
    <t>ALHA78158</t>
  </si>
  <si>
    <t>ALHA78165</t>
  </si>
  <si>
    <t>ALHA81001</t>
  </si>
  <si>
    <t>W-04</t>
  </si>
  <si>
    <t>Béréba</t>
  </si>
  <si>
    <t>M-02</t>
  </si>
  <si>
    <t>P-01</t>
  </si>
  <si>
    <t>U-02</t>
  </si>
  <si>
    <t>Bialystok</t>
  </si>
  <si>
    <t>Binda</t>
  </si>
  <si>
    <t>S-62</t>
  </si>
  <si>
    <t>Bluewing 001</t>
  </si>
  <si>
    <t>Bouvante</t>
  </si>
  <si>
    <t>C-08</t>
  </si>
  <si>
    <t>Brient</t>
  </si>
  <si>
    <t>D-03</t>
  </si>
  <si>
    <t>Cachari</t>
  </si>
  <si>
    <t>B-02</t>
  </si>
  <si>
    <t>Camel Donga</t>
  </si>
  <si>
    <t>C-04</t>
  </si>
  <si>
    <t>Chervony Kut</t>
  </si>
  <si>
    <t>K-09</t>
  </si>
  <si>
    <t>DaG 391</t>
  </si>
  <si>
    <t>DaG 411</t>
  </si>
  <si>
    <t>DaG 945</t>
  </si>
  <si>
    <t>EET 82600</t>
  </si>
  <si>
    <t>EET 87520</t>
  </si>
  <si>
    <t>EET 87532</t>
  </si>
  <si>
    <t>M-94</t>
  </si>
  <si>
    <t>EET 87542</t>
  </si>
  <si>
    <t>EET 87548</t>
  </si>
  <si>
    <t>EET 90020</t>
  </si>
  <si>
    <t>EET 92003</t>
  </si>
  <si>
    <t>EET 92004</t>
  </si>
  <si>
    <t>EET 92023</t>
  </si>
  <si>
    <t>EETA79005</t>
  </si>
  <si>
    <t>FRO 97045</t>
  </si>
  <si>
    <t>GRA 98006</t>
  </si>
  <si>
    <t>GRA 98033</t>
  </si>
  <si>
    <t>GRA 98098</t>
  </si>
  <si>
    <t>HaH 262</t>
  </si>
  <si>
    <t>Y-11</t>
  </si>
  <si>
    <t>Haraiya</t>
  </si>
  <si>
    <t>A-04</t>
  </si>
  <si>
    <t>Igdi</t>
  </si>
  <si>
    <t>Jonzac</t>
  </si>
  <si>
    <t>Juvinas</t>
  </si>
  <si>
    <t>D-01</t>
  </si>
  <si>
    <t>Y-06</t>
  </si>
  <si>
    <t>Lakangaon</t>
  </si>
  <si>
    <t>LEW 85300</t>
  </si>
  <si>
    <t>LEW 85303</t>
  </si>
  <si>
    <t>LEW 86001</t>
  </si>
  <si>
    <t>LEW 86002</t>
  </si>
  <si>
    <t>LEW 87004</t>
  </si>
  <si>
    <t>LEW 87010</t>
  </si>
  <si>
    <t>LEW 87026</t>
  </si>
  <si>
    <t>LEW 87295</t>
  </si>
  <si>
    <t>LEW 88005</t>
  </si>
  <si>
    <t>LEW 88009</t>
  </si>
  <si>
    <t>LEW 88010</t>
  </si>
  <si>
    <t>Macibini</t>
  </si>
  <si>
    <t>H-04</t>
  </si>
  <si>
    <t>Medanitos</t>
  </si>
  <si>
    <t>S-14</t>
  </si>
  <si>
    <t>Millbillillie</t>
  </si>
  <si>
    <t>F-20</t>
  </si>
  <si>
    <t>Moama</t>
  </si>
  <si>
    <t>L-03</t>
  </si>
  <si>
    <t>Moore County</t>
  </si>
  <si>
    <t>Nuevo Laredo</t>
  </si>
  <si>
    <t>NWA 2362</t>
  </si>
  <si>
    <t>NWA 5738</t>
  </si>
  <si>
    <t>W-75</t>
  </si>
  <si>
    <t>PCA 82502</t>
  </si>
  <si>
    <t>PCA 91007</t>
  </si>
  <si>
    <t>PCA 91078</t>
  </si>
  <si>
    <t>PCA 91159</t>
  </si>
  <si>
    <t>PCA 91245</t>
  </si>
  <si>
    <t>Peramiho</t>
  </si>
  <si>
    <t>Piplia Kalan</t>
  </si>
  <si>
    <t>S-37</t>
  </si>
  <si>
    <t>Pomozdino</t>
  </si>
  <si>
    <t>W-15</t>
  </si>
  <si>
    <t>K-03</t>
  </si>
  <si>
    <t>QUE 97002</t>
  </si>
  <si>
    <t>QUE 97004</t>
  </si>
  <si>
    <t>QUE 97014</t>
  </si>
  <si>
    <t>QUE 99005</t>
  </si>
  <si>
    <t>QUE 99006</t>
  </si>
  <si>
    <t>RKPA80204</t>
  </si>
  <si>
    <t>RKPA80224</t>
  </si>
  <si>
    <t>Serra de Magé</t>
  </si>
  <si>
    <t>Sioux County</t>
  </si>
  <si>
    <t>Stannern</t>
  </si>
  <si>
    <t>Talampaya</t>
  </si>
  <si>
    <t>TIL 82403</t>
  </si>
  <si>
    <t>Vetluga</t>
  </si>
  <si>
    <t>K-10</t>
  </si>
  <si>
    <t>Vissannapeta</t>
  </si>
  <si>
    <t>G-29</t>
  </si>
  <si>
    <t>Y-74159</t>
  </si>
  <si>
    <t>Y-74356</t>
  </si>
  <si>
    <t>Y-74450</t>
  </si>
  <si>
    <t>Y-75011</t>
  </si>
  <si>
    <t>Y-75015</t>
  </si>
  <si>
    <t>Y-790006</t>
  </si>
  <si>
    <t>T-05</t>
  </si>
  <si>
    <t>Y-790007</t>
  </si>
  <si>
    <t>Y-790020</t>
  </si>
  <si>
    <t>Y-790113</t>
  </si>
  <si>
    <t>Y-790122</t>
  </si>
  <si>
    <t>Y-790260</t>
  </si>
  <si>
    <t>Y-790266</t>
  </si>
  <si>
    <t>Y-791186</t>
  </si>
  <si>
    <t>Y-791195</t>
  </si>
  <si>
    <t>J-05</t>
  </si>
  <si>
    <t>Y-791438</t>
  </si>
  <si>
    <t>Y-791826</t>
  </si>
  <si>
    <t>Y-791960</t>
  </si>
  <si>
    <t>Y-792510</t>
  </si>
  <si>
    <t>Y-792511</t>
  </si>
  <si>
    <t>Y-792769</t>
  </si>
  <si>
    <t>Y-793164</t>
  </si>
  <si>
    <t>Y-793547</t>
  </si>
  <si>
    <t>Y-793570</t>
  </si>
  <si>
    <t>Y-794002</t>
  </si>
  <si>
    <t>Y-794043</t>
  </si>
  <si>
    <t>Y-82037</t>
  </si>
  <si>
    <t>Y-82066</t>
  </si>
  <si>
    <t>Y-82082</t>
  </si>
  <si>
    <t>Y-82202</t>
  </si>
  <si>
    <t>Y-82209</t>
  </si>
  <si>
    <t>Y-82210</t>
  </si>
  <si>
    <t>Y-981651</t>
  </si>
  <si>
    <t>Bholghati</t>
  </si>
  <si>
    <t>L-07</t>
  </si>
  <si>
    <t>Howardite</t>
  </si>
  <si>
    <t>Bununu</t>
  </si>
  <si>
    <t>M-32</t>
  </si>
  <si>
    <t>Chaves</t>
  </si>
  <si>
    <t>CRE 01400</t>
  </si>
  <si>
    <t>DaG 779</t>
  </si>
  <si>
    <t>EET 83376</t>
  </si>
  <si>
    <t>EET 87503</t>
  </si>
  <si>
    <t>EET 87509</t>
  </si>
  <si>
    <t>EET 87513</t>
  </si>
  <si>
    <t>EET 87518</t>
  </si>
  <si>
    <t>EET 87531</t>
  </si>
  <si>
    <t>EET 92014</t>
  </si>
  <si>
    <t>M-70</t>
  </si>
  <si>
    <t>EET 96003</t>
  </si>
  <si>
    <t>EET 99400</t>
  </si>
  <si>
    <t>EET 99408</t>
  </si>
  <si>
    <t>Frankfort</t>
  </si>
  <si>
    <t>M-33</t>
  </si>
  <si>
    <t>GRO 95535</t>
  </si>
  <si>
    <t>GRO 95574</t>
  </si>
  <si>
    <t>GRO 95581</t>
  </si>
  <si>
    <t>GRO 95602</t>
  </si>
  <si>
    <t>GRO 95633</t>
  </si>
  <si>
    <t>HaH 285</t>
  </si>
  <si>
    <t>Hughes 004</t>
  </si>
  <si>
    <t>Jodzie</t>
  </si>
  <si>
    <t>Kapoeta</t>
  </si>
  <si>
    <t>D-04</t>
  </si>
  <si>
    <t>M-34</t>
  </si>
  <si>
    <t>W-02</t>
  </si>
  <si>
    <t>LAP 04838</t>
  </si>
  <si>
    <t>Le Teilleul</t>
  </si>
  <si>
    <t>LEW 85313</t>
  </si>
  <si>
    <t>LEW 87002</t>
  </si>
  <si>
    <t>LEW 87005</t>
  </si>
  <si>
    <t>Lohawat</t>
  </si>
  <si>
    <t>S-44</t>
  </si>
  <si>
    <t>MAC 02666</t>
  </si>
  <si>
    <t>Malvern</t>
  </si>
  <si>
    <t>D-08</t>
  </si>
  <si>
    <t>Mässing</t>
  </si>
  <si>
    <t>Melrose (b)</t>
  </si>
  <si>
    <t>MET 00423</t>
  </si>
  <si>
    <t>MET 01087</t>
  </si>
  <si>
    <t>MET 96500</t>
  </si>
  <si>
    <t>Molteno</t>
  </si>
  <si>
    <t>Muckera 001</t>
  </si>
  <si>
    <t>Muckera 002</t>
  </si>
  <si>
    <t>NWA 1182</t>
  </si>
  <si>
    <t>NWA 1282</t>
  </si>
  <si>
    <t>Pavlovka</t>
  </si>
  <si>
    <t>PCA 02009</t>
  </si>
  <si>
    <t>PCA 02066</t>
  </si>
  <si>
    <t>PRA 04401</t>
  </si>
  <si>
    <t>QUE 94200</t>
  </si>
  <si>
    <t>QUE 97001</t>
  </si>
  <si>
    <t>QUE 99033</t>
  </si>
  <si>
    <t>SAN 03472</t>
  </si>
  <si>
    <t>SCO 06040</t>
  </si>
  <si>
    <t>Y-7308</t>
  </si>
  <si>
    <t>Y-01</t>
  </si>
  <si>
    <t>Y-790727</t>
  </si>
  <si>
    <t>Y-790991</t>
  </si>
  <si>
    <t>Y-791192</t>
  </si>
  <si>
    <t>Y-791206</t>
  </si>
  <si>
    <t>Y-791208</t>
  </si>
  <si>
    <t>Y-791492</t>
  </si>
  <si>
    <t>Y-791573</t>
  </si>
  <si>
    <t>Y-793497</t>
  </si>
  <si>
    <t>Y-82049</t>
  </si>
  <si>
    <t>Y-82052</t>
  </si>
  <si>
    <t>Y-82091</t>
  </si>
  <si>
    <t>Zmenj</t>
  </si>
  <si>
    <t>W-11</t>
  </si>
  <si>
    <t>NWA 8326</t>
  </si>
  <si>
    <t>Liu et al. (2025)</t>
    <phoneticPr fontId="1" type="noConversion"/>
  </si>
  <si>
    <t>Liu, Xiao-Wen, et al. "Petrogenesis of the unbrecciated pigeonite cumulate eucrite Northwest Africa 8326: Bridging the gap between eucrites and diogenites." Geochimica et Cosmochimica Acta 389 (2025): 224-238.</t>
    <phoneticPr fontId="1" type="noConversion"/>
  </si>
  <si>
    <t>NWA 2650</t>
  </si>
  <si>
    <t>NWA 8003</t>
  </si>
  <si>
    <t>NWA 8321</t>
  </si>
  <si>
    <t>Dhofar 700</t>
  </si>
  <si>
    <t>ALHA 81001</t>
  </si>
  <si>
    <t>Dhaliwal et al. (2023)</t>
    <phoneticPr fontId="1" type="noConversion"/>
  </si>
  <si>
    <t>Dhaliwal, J. K., Day, J. M., &amp; Tait, K. T. (2023). Pristinity and petrogenesis of eucrites. Meteoritics &amp; Planetary Science, 58(2), 275-295.</t>
    <phoneticPr fontId="1" type="noConversion"/>
  </si>
  <si>
    <t>BTN 00300</t>
  </si>
  <si>
    <t>CMS 04049</t>
  </si>
  <si>
    <t>Dhaliwal et al. (2023)</t>
  </si>
  <si>
    <t>Dhaliwal, J. K., Day, J. M., &amp; Tait, K. T. (2023). Pristinity and petrogenesis of eucrites. Meteoritics &amp; Planetary Science, 58(2), 275-295.</t>
  </si>
  <si>
    <t>GRO 95533</t>
  </si>
  <si>
    <t>LEW 85305</t>
  </si>
  <si>
    <t>QUE 97053</t>
  </si>
  <si>
    <t>GRO 06059</t>
  </si>
  <si>
    <t>NWA 1000</t>
  </si>
  <si>
    <t>NWA 1666</t>
  </si>
  <si>
    <t>NWA 1836</t>
  </si>
  <si>
    <t>NWA 1918</t>
  </si>
  <si>
    <t>NWA 1923</t>
  </si>
  <si>
    <t>NWA 5232</t>
  </si>
  <si>
    <t>NWA 5356</t>
  </si>
  <si>
    <t>NWA 5601</t>
  </si>
  <si>
    <t>NWA 5617</t>
  </si>
  <si>
    <t>Bereba</t>
  </si>
  <si>
    <t>SaU 562</t>
  </si>
  <si>
    <t>Pasamonte</t>
  </si>
  <si>
    <t>NWA 769</t>
  </si>
  <si>
    <t>Zhu et al. (2023)</t>
    <phoneticPr fontId="1" type="noConversion"/>
  </si>
  <si>
    <t>Zhu, Ke, et al. "Calcium isotope evolution during differentiation of Vesta and calcium isotopic heterogeneities in the inner solar system." Geophysical Research Letters 50.4 (2023): e2022GL102179.</t>
    <phoneticPr fontId="1" type="noConversion"/>
  </si>
  <si>
    <t>Bou Kra 004</t>
  </si>
  <si>
    <t>NWA8048</t>
  </si>
  <si>
    <t>Zhu et al. (2023)</t>
  </si>
  <si>
    <t>Zhu, Ke, et al. "Calcium isotope evolution during differentiation of Vesta and calcium isotopic heterogeneities in the inner solar system." Geophysical Research Letters 50.4 (2023): e2022GL102179.</t>
  </si>
  <si>
    <t>NWA 7263</t>
  </si>
  <si>
    <t>NWA 10962</t>
  </si>
  <si>
    <t>NWA 8554</t>
  </si>
  <si>
    <t>Tirhert</t>
  </si>
  <si>
    <t>NWA 10515</t>
  </si>
  <si>
    <t>Diogenite</t>
  </si>
  <si>
    <t>NWA 5480</t>
  </si>
  <si>
    <t>NWA 7831</t>
  </si>
  <si>
    <t>DaG  844</t>
    <phoneticPr fontId="1" type="noConversion"/>
  </si>
  <si>
    <t>Barrett et al. (2024)</t>
    <phoneticPr fontId="1" type="noConversion"/>
  </si>
  <si>
    <t>Barrett, T. J., et al. "A mineralogical and isotopic study of the historic monomict eucrite Padvarninkai." Meteoritics &amp; Planetary Science 59.9 (2024): 2505-2522.</t>
    <phoneticPr fontId="1" type="noConversion"/>
  </si>
  <si>
    <t>Padvarninkai A</t>
    <phoneticPr fontId="1" type="noConversion"/>
  </si>
  <si>
    <t>NWA 10245</t>
  </si>
  <si>
    <t>He et al. (2022)</t>
    <phoneticPr fontId="1" type="noConversion"/>
  </si>
  <si>
    <t>He, Y., Liu, X. W., &amp; Zhang, A. C. (2022). Evolved components in the eucrite parent body: Records in the layered eucrite Northwest Africa 8021. Meteoritics &amp; Planetary Science, 57(6), 1224-1246.</t>
    <phoneticPr fontId="1" type="noConversion"/>
  </si>
  <si>
    <t>A-87146</t>
  </si>
  <si>
    <t>A-87147</t>
  </si>
  <si>
    <t>A-881377</t>
  </si>
  <si>
    <t>ALH-77256</t>
  </si>
  <si>
    <t>Y981710</t>
  </si>
  <si>
    <t>A-881548</t>
  </si>
  <si>
    <t>A-881747</t>
  </si>
  <si>
    <t>Y980318</t>
  </si>
  <si>
    <t>Y981617</t>
  </si>
  <si>
    <t>Y981646</t>
  </si>
  <si>
    <t>Y981651</t>
  </si>
  <si>
    <t>Y981724</t>
  </si>
  <si>
    <t>Y981735</t>
  </si>
  <si>
    <t>ALH-765</t>
  </si>
  <si>
    <t>ALH-77302</t>
  </si>
  <si>
    <t>ALH-78040</t>
  </si>
  <si>
    <t>ALH-78132</t>
  </si>
  <si>
    <t>A-881394</t>
  </si>
  <si>
    <t>Y-791962</t>
  </si>
  <si>
    <t>Y981604</t>
  </si>
  <si>
    <t>Meteorites</t>
    <phoneticPr fontId="1" type="noConversion"/>
  </si>
  <si>
    <t>Lodders (1998)</t>
    <phoneticPr fontId="1" type="noConversion"/>
  </si>
  <si>
    <t>Lodders K. A survey of shergottite, nakhlite and chassigny meteorites whole‐rock compositions[J]. Meteoritics &amp; Planetary Science, 1998, 33(S4): A183-A190.</t>
    <phoneticPr fontId="1" type="noConversion"/>
  </si>
  <si>
    <t>Mars Meteorite Compendium (http://curator.jsc.nasa.gov/antmet/mmc/)</t>
    <phoneticPr fontId="1" type="noConversion"/>
  </si>
  <si>
    <t>Jerome 70</t>
  </si>
  <si>
    <t>Day et al. (2018)</t>
  </si>
  <si>
    <t>Day, James MD, et al. "Martian magmatism from plume metasomatized mantle." Nature communications 9.1 (2018): 4799.</t>
  </si>
  <si>
    <t>Governador Valadares</t>
  </si>
  <si>
    <t>Burragato et al. (1975)</t>
    <phoneticPr fontId="1" type="noConversion"/>
  </si>
  <si>
    <t>Burragato F, Cavarretta G, Funiciello R. The new Brazilian a chondrite of Governador Valadares (Minas Gerais)[J]. Meteoritics, Vol. 10, p. 374, 1975, 10: 374.</t>
    <phoneticPr fontId="1" type="noConversion"/>
  </si>
  <si>
    <t>Nakhlite</t>
  </si>
  <si>
    <t>Lafayette</t>
  </si>
  <si>
    <t>Boctor et al. (1976)</t>
    <phoneticPr fontId="1" type="noConversion"/>
  </si>
  <si>
    <t>Boctor N Z, Meyer H O A, Kullerud G. Lafayette meteorite: Petrology and opaque mineralogy[J]. Earth and Planetary Science Letters, 1976, 32(1): 69-76.</t>
    <phoneticPr fontId="1" type="noConversion"/>
  </si>
  <si>
    <t>MIL</t>
    <phoneticPr fontId="1" type="noConversion"/>
  </si>
  <si>
    <t>Day et al. (2006)</t>
    <phoneticPr fontId="1" type="noConversion"/>
  </si>
  <si>
    <t>Day J M D, Taylor L A, Floss C, et al. Petrology and chemistry of MIL 03346 and its significance in understanding the petrogenesis of nakhlites on Mars[J]. Meteoritics &amp; Planetary Science, 2006, 41(4): 581-606.</t>
    <phoneticPr fontId="1" type="noConversion"/>
  </si>
  <si>
    <t>Anand2005</t>
  </si>
  <si>
    <t>Nakhla</t>
    <phoneticPr fontId="1" type="noConversion"/>
  </si>
  <si>
    <t>McCarthy et al. (1974)</t>
    <phoneticPr fontId="1" type="noConversion"/>
  </si>
  <si>
    <t>McCarthy T S, Erlank A J, Willis J P, et al. New chemical analyses of six achondrites and one chondrite[J]. Meteoritics, 1974, 9(3): 215-221.</t>
    <phoneticPr fontId="1" type="noConversion"/>
  </si>
  <si>
    <t>Dreibus82</t>
  </si>
  <si>
    <t>Prior 1912</t>
    <phoneticPr fontId="1" type="noConversion"/>
  </si>
  <si>
    <t>NWA 817</t>
    <phoneticPr fontId="1" type="noConversion"/>
  </si>
  <si>
    <t>Sautter et al. (2002)</t>
    <phoneticPr fontId="1" type="noConversion"/>
  </si>
  <si>
    <t>Sautter V, Barrat J A, Jambon A, et al. A new Martian meteorite from Morocco: the nakhlite North West Africa 817[J]. Earth and Planetary Science Letters, 2002, 195(3-4): 223-238.</t>
    <phoneticPr fontId="1" type="noConversion"/>
  </si>
  <si>
    <t>Nakhlite</t>
    <phoneticPr fontId="1" type="noConversion"/>
  </si>
  <si>
    <t>NWA 998</t>
    <phoneticPr fontId="1" type="noConversion"/>
  </si>
  <si>
    <t>Treiman and Irving (2008)</t>
    <phoneticPr fontId="1" type="noConversion"/>
  </si>
  <si>
    <t>Treiman A H, Irving A J. Petrology of martian meteorite Northwest Africa 998[J]. Meteoritics &amp; Planetary Science, 2008, 43(5): 829-854.</t>
    <phoneticPr fontId="1" type="noConversion"/>
  </si>
  <si>
    <t>Yamato 000593</t>
    <phoneticPr fontId="1" type="noConversion"/>
  </si>
  <si>
    <t>Oura et al. (2003)</t>
    <phoneticPr fontId="1" type="noConversion"/>
  </si>
  <si>
    <t>Oura Y, Shirai N, Ebihara M. Chemical composition of Yamato (Y) 000593 and Yamato 000749: Neutron-induced prompt gamma-ray analysis study[J]. Antarctic meteorite research, 2003, 16: 80-93.</t>
    <phoneticPr fontId="1" type="noConversion"/>
  </si>
  <si>
    <t>Y000749</t>
    <phoneticPr fontId="1" type="noConversion"/>
  </si>
  <si>
    <t>Imae 03</t>
  </si>
  <si>
    <t>Haramura</t>
  </si>
  <si>
    <t>NWA 998</t>
  </si>
  <si>
    <t>Lafayette</t>
    <phoneticPr fontId="1" type="noConversion"/>
  </si>
  <si>
    <t>Nakhla</t>
  </si>
  <si>
    <t>Nakhla (II)</t>
  </si>
  <si>
    <t>Y 000593</t>
  </si>
  <si>
    <t>NWA 817</t>
  </si>
  <si>
    <t>MIL 090032</t>
  </si>
  <si>
    <t>MIL 03346</t>
  </si>
  <si>
    <t>MIL 090136 (II)</t>
    <phoneticPr fontId="1" type="noConversion"/>
  </si>
  <si>
    <t>MIL 090136</t>
    <phoneticPr fontId="1" type="noConversion"/>
  </si>
  <si>
    <t>MIL 090030</t>
    <phoneticPr fontId="1" type="noConversion"/>
  </si>
  <si>
    <t>NWA 6148</t>
    <phoneticPr fontId="1" type="noConversion"/>
  </si>
  <si>
    <t>NWA 10153</t>
    <phoneticPr fontId="1" type="noConversion"/>
  </si>
  <si>
    <t>NWA 11013</t>
    <phoneticPr fontId="1" type="noConversion"/>
  </si>
  <si>
    <t>NWA 10645</t>
    <phoneticPr fontId="1" type="noConversion"/>
  </si>
  <si>
    <t>Gleason 97</t>
  </si>
  <si>
    <t>Warren99</t>
    <phoneticPr fontId="1" type="noConversion"/>
  </si>
  <si>
    <t>Kong 99</t>
    <phoneticPr fontId="1" type="noConversion"/>
  </si>
  <si>
    <t>Shergotty</t>
    <phoneticPr fontId="1" type="noConversion"/>
  </si>
  <si>
    <t>Shergottite</t>
    <phoneticPr fontId="1" type="noConversion"/>
  </si>
  <si>
    <t>Yamato 793605</t>
    <phoneticPr fontId="1" type="noConversion"/>
  </si>
  <si>
    <t>Warren99</t>
  </si>
  <si>
    <t>Yamato 980459</t>
    <phoneticPr fontId="1" type="noConversion"/>
  </si>
  <si>
    <t>Shirai et al. (2004)</t>
    <phoneticPr fontId="1" type="noConversion"/>
  </si>
  <si>
    <t>Shirai N, Ebihara M. Chemical characteristics of a Martian meteorite, Yamato 980459[J]. Antarctic Meteorite Research, Vol. 17, p. 55, 2004, 17: 55.</t>
    <phoneticPr fontId="1" type="noConversion"/>
  </si>
  <si>
    <t>Zagami</t>
    <phoneticPr fontId="1" type="noConversion"/>
  </si>
  <si>
    <t>Easton 77</t>
  </si>
  <si>
    <t>Y 984028</t>
  </si>
  <si>
    <t>Riches et al. (2011)</t>
    <phoneticPr fontId="1" type="noConversion"/>
  </si>
  <si>
    <t>Riches, Amy JV, et al. "Petrology and geochemistry of Yamato 984028: A cumulate lherzolitic shergottite with affinities to Y 000027, Y 000047, and Y 000097." Polar Science 4.4 (2011): 497-514.</t>
    <phoneticPr fontId="1" type="noConversion"/>
  </si>
  <si>
    <t>Y 793605</t>
    <phoneticPr fontId="1" type="noConversion"/>
  </si>
  <si>
    <t>NWA 4797</t>
    <phoneticPr fontId="1" type="noConversion"/>
  </si>
  <si>
    <t>LEW 88516</t>
    <phoneticPr fontId="1" type="noConversion"/>
  </si>
  <si>
    <t>NWA 1950</t>
    <phoneticPr fontId="1" type="noConversion"/>
  </si>
  <si>
    <t>ALHA 77005</t>
    <phoneticPr fontId="1" type="noConversion"/>
  </si>
  <si>
    <t>Y-980459</t>
  </si>
  <si>
    <t>Greshake et al. (2004)</t>
    <phoneticPr fontId="1" type="noConversion"/>
  </si>
  <si>
    <t>Greshake A., Fritz J., and Stoeffler D. 2004. Petrology and shock metamorphism of the olivine-phyric shergottite Yamato 890459: Evidence for a two-stage cooling and single-stage ejection history. Geochimica et Cosmochimica Acta 68: 2359–2377.</t>
    <phoneticPr fontId="1" type="noConversion"/>
  </si>
  <si>
    <t>Y-980459</t>
    <phoneticPr fontId="1" type="noConversion"/>
  </si>
  <si>
    <t>Misawa (2003)</t>
    <phoneticPr fontId="1" type="noConversion"/>
  </si>
  <si>
    <t>Misawa K. 2003. The Yamato 980459 shergottite consortium. In International symposium: Evolution of solar system materials, National Institute for Polar Research, Tokyo. pp. 84–85.</t>
    <phoneticPr fontId="1" type="noConversion"/>
  </si>
  <si>
    <t>Y 980459</t>
  </si>
  <si>
    <t>Symes et al. (2008)</t>
    <phoneticPr fontId="1" type="noConversion"/>
  </si>
  <si>
    <t>Symes S. J. K., Borg L. E., Shearer C. K., and Irving A. J. 2008. The age of the Martian meteorite Northwest Africa 1195 and the differentiation history of the shergottites. Geochimica et Cosmochimica Acta 72: 1696–1710.</t>
    <phoneticPr fontId="1" type="noConversion"/>
  </si>
  <si>
    <t>Stolper and McSween (1979)</t>
    <phoneticPr fontId="1" type="noConversion"/>
  </si>
  <si>
    <t>Stolper E. and McSween H. Y. Jr. 1979. Petrology and origin of the shergottite meteorites. Geochimica et Cosmochimica Acta 43: 1475–1498.</t>
    <phoneticPr fontId="1" type="noConversion"/>
  </si>
  <si>
    <t>Shergotty</t>
  </si>
  <si>
    <t>NWA 16788</t>
    <phoneticPr fontId="1" type="noConversion"/>
  </si>
  <si>
    <t>Shehaj et al. (2025)</t>
    <phoneticPr fontId="1" type="noConversion"/>
  </si>
  <si>
    <t>Shehaj, Xhonatan, et al. "Northwest Africa 16788: The largest known individual Martian meteorite—A new Olivine microgabbroic shergottite and its implications for Martian magmatism." Journal of Geophysical Research: Planets 130.9 (2025): e2024JE008885.</t>
    <phoneticPr fontId="1" type="noConversion"/>
  </si>
  <si>
    <t>NWA 6963</t>
  </si>
  <si>
    <t>Filiberto et al. (2018)</t>
  </si>
  <si>
    <t>Filiberto, J., Gross, J., Udry, A., Trela, J., Wittmann, A., Cannon, K. M., et al. (2018). Shergottite northwest Africa 6963: A pyroxene-cumulate Martian gabbro. Journal of Geophysical Research: Planets, 123(7), 1823–1841.</t>
    <phoneticPr fontId="1" type="noConversion"/>
  </si>
  <si>
    <t>NWA 13134</t>
  </si>
  <si>
    <t>Saper et al. (2025)</t>
  </si>
  <si>
    <t>Saper, L., Liu, Y., Kipp, M. A., Burney, D., Ma, C., Tissot, F. L., et al. (2025). Chemical, isotopic (O, He, U), and petrological characteristics of a slowly cooled enriched gabbroic shergottite, Northwest Africa 13134. Meteoritics &amp; Planetary Sciences, 60(5), 1119–1150.</t>
    <phoneticPr fontId="1" type="noConversion"/>
  </si>
  <si>
    <t>NWA 13227</t>
  </si>
  <si>
    <t>Benaroya et al. (2024)</t>
  </si>
  <si>
    <t>Benaroya, S., Gross, J., Burger, P., Righter, M., Lapen, T. J., &amp; Eckley, S. (2024). Petrogenesis of a new type of intrusive shergottite: Olivine-gabbro Northwest Africa 13227. Geochimica et Cosmochimica Acta, 370, 41–65.</t>
    <phoneticPr fontId="1" type="noConversion"/>
  </si>
  <si>
    <t>NWA 13581</t>
  </si>
  <si>
    <t>Wu et al. (2023)</t>
  </si>
  <si>
    <t>Wu, Y., Hsu, W., Liao, S., Xiao, Z., Che, X., Pan, L., et al. (2023). Petrology and mineralogy of the Martian olivine gabbroic shergottite Northwest Africa 13581: Insights into the enriched Martian mantle source. Geochimica et Cosmochimica Acta, 358, 108–125.</t>
    <phoneticPr fontId="1" type="noConversion"/>
  </si>
  <si>
    <t>NWA 8653</t>
    <phoneticPr fontId="1" type="noConversion"/>
  </si>
  <si>
    <t>Wu et al. (2021)</t>
    <phoneticPr fontId="1" type="noConversion"/>
  </si>
  <si>
    <t>Wu, Yunhua, et al. "Heterogeneous martian mantle: Evidence from petrology, mineral chemistry, and in situ U-Pb chronology of the basaltic shergottite Northwest Africa 8653." Geochimica et Cosmochimica Acta 309 (2021): 352-365.</t>
    <phoneticPr fontId="1" type="noConversion"/>
  </si>
  <si>
    <t>NWA 8657</t>
  </si>
  <si>
    <t>Howarth et al. (2018)</t>
    <phoneticPr fontId="1" type="noConversion"/>
  </si>
  <si>
    <t>Howarth, G. H., Udry, A., &amp; Day, J. M. (2018). Petrogenesis of basaltic shergottite Northwest Africa 8657: Implications for fO 2 correlations and element redistribution during shock melting in shergottites. Meteoritics &amp; Planetary Science, 53(2), 249-267.</t>
    <phoneticPr fontId="1" type="noConversion"/>
  </si>
  <si>
    <t>NWA 8686</t>
  </si>
  <si>
    <t>Nicklas et al. (2022)</t>
    <phoneticPr fontId="1" type="noConversion"/>
  </si>
  <si>
    <t>Nicklas, Robert W., et al. "Petrogenesis of Northwest Africa 8686: A ferroan olivine‐phyric shergottite." Meteoritics &amp; Planetary Science 57.5 (2022): 947-964.</t>
    <phoneticPr fontId="1" type="noConversion"/>
  </si>
  <si>
    <t>NWA 10169</t>
    <phoneticPr fontId="1" type="noConversion"/>
  </si>
  <si>
    <t>Combs et al. (2019)</t>
    <phoneticPr fontId="1" type="noConversion"/>
  </si>
  <si>
    <t>Combs, Logan M., et al. "Petrology of the enriched poikilitic shergottite Northwest Africa 10169: Insight into the martian interior." Geochimica et Cosmochimica Acta 266 (2019): 435-462.</t>
    <phoneticPr fontId="1" type="noConversion"/>
  </si>
  <si>
    <t>NWA 4468</t>
    <phoneticPr fontId="1" type="noConversion"/>
  </si>
  <si>
    <t>Rahib et al. (2019)</t>
    <phoneticPr fontId="1" type="noConversion"/>
  </si>
  <si>
    <t>Rahib, Rachel R., et al. "Mantle source to near-surface emplacement of enriched and intermediate poikilitic shergottites in Mars." Geochimica et Cosmochimica Acta 266 (2019): 463-496.</t>
    <phoneticPr fontId="1" type="noConversion"/>
  </si>
  <si>
    <t>NWA 7755</t>
    <phoneticPr fontId="1" type="noConversion"/>
  </si>
  <si>
    <t>NWA 11043</t>
    <phoneticPr fontId="1" type="noConversion"/>
  </si>
  <si>
    <t>NWA 7397</t>
    <phoneticPr fontId="1" type="noConversion"/>
  </si>
  <si>
    <t>NWA 10961</t>
    <phoneticPr fontId="1" type="noConversion"/>
  </si>
  <si>
    <t>NWA 11065</t>
    <phoneticPr fontId="1" type="noConversion"/>
  </si>
  <si>
    <t>NWA 2046</t>
  </si>
  <si>
    <t>Peel et al. (2023)</t>
    <phoneticPr fontId="1" type="noConversion"/>
  </si>
  <si>
    <t>Peel, Chad J., et al. "Constraints on martian depleted shergottite volcanism from the petrogenesis of olivine-phyric shergottites NWA 2046 and NWA 4925." Journal of African Earth Sciences 202 (2023): 104901.</t>
    <phoneticPr fontId="1" type="noConversion"/>
  </si>
  <si>
    <t>NWA 4925</t>
  </si>
  <si>
    <t>NWA 2975</t>
    <phoneticPr fontId="1" type="noConversion"/>
  </si>
  <si>
    <t>He et al. (2015)</t>
    <phoneticPr fontId="1" type="noConversion"/>
  </si>
  <si>
    <t>He, Qi, et al. "Petrography and geochemistry of the enriched basaltic shergottite Northwest Africa 2975." Meteoritics &amp; Planetary Science 50.12 (2015): 2024-2044.</t>
    <phoneticPr fontId="1" type="noConversion"/>
  </si>
  <si>
    <t>NWA 7042</t>
    <phoneticPr fontId="1" type="noConversion"/>
  </si>
  <si>
    <t>Day et al. (2018)</t>
    <phoneticPr fontId="1" type="noConversion"/>
  </si>
  <si>
    <t>Day, James MD, et al. "Martian magmatism from plume metasomatized mantle." Nature communications 9.1 (2018): 4799.</t>
    <phoneticPr fontId="1" type="noConversion"/>
  </si>
  <si>
    <t>NWA 7042</t>
  </si>
  <si>
    <t>ALH77005</t>
    <phoneticPr fontId="1" type="noConversion"/>
  </si>
  <si>
    <t>Shergottite</t>
  </si>
  <si>
    <t>Dreibus92</t>
    <phoneticPr fontId="1" type="noConversion"/>
  </si>
  <si>
    <t>Jarosewich90</t>
  </si>
  <si>
    <t>ALH77005 dark</t>
    <phoneticPr fontId="1" type="noConversion"/>
  </si>
  <si>
    <t>ALH77005 light</t>
    <phoneticPr fontId="1" type="noConversion"/>
  </si>
  <si>
    <t>Burghele83</t>
    <phoneticPr fontId="1" type="noConversion"/>
  </si>
  <si>
    <t>Haramura95</t>
    <phoneticPr fontId="1" type="noConversion"/>
  </si>
  <si>
    <t>Treiman94</t>
    <phoneticPr fontId="1" type="noConversion"/>
  </si>
  <si>
    <t>Warren97</t>
    <phoneticPr fontId="1" type="noConversion"/>
  </si>
  <si>
    <t>Smith84</t>
    <phoneticPr fontId="1" type="noConversion"/>
  </si>
  <si>
    <t>Dar al Gani 476</t>
  </si>
  <si>
    <t>Folco and Franchi (2000)</t>
    <phoneticPr fontId="1" type="noConversion"/>
  </si>
  <si>
    <t>Folco L, Franchi I A. Dar al Gani 670 shergottite: A new fragment of the Dar al Gani 476/489 martian meteorite[J]. Meteoritics &amp; Planetary Science, vol. 35, Supplement, p. A54, 2000, 35: A54.</t>
    <phoneticPr fontId="1" type="noConversion"/>
  </si>
  <si>
    <t>Zipfel 2000</t>
  </si>
  <si>
    <t>Dhofar 019</t>
    <phoneticPr fontId="1" type="noConversion"/>
  </si>
  <si>
    <t>Taylor et al. (2002)</t>
    <phoneticPr fontId="1" type="noConversion"/>
  </si>
  <si>
    <t>Taylor L A, Nazarov M A, Shearer C K, et al. Martian meteorite Dhofar 019: A new shergottite[J]. Meteoritics &amp; Planetary Science, 2002, 37(8): 1107-1128.</t>
    <phoneticPr fontId="1" type="noConversion"/>
  </si>
  <si>
    <t>Dhofar 378</t>
  </si>
  <si>
    <t>Ikeda et al. (2006)</t>
    <phoneticPr fontId="1" type="noConversion"/>
  </si>
  <si>
    <t>Ikeda Y, Kimura M, Takeda H, et al. Petrology of a new basaltic shergottite: Dhofar 378[J]. Antarctic Meteorite Research, 2006, 19: 20-44.</t>
    <phoneticPr fontId="1" type="noConversion"/>
  </si>
  <si>
    <t>EETA79001A</t>
    <phoneticPr fontId="1" type="noConversion"/>
  </si>
  <si>
    <t>McSween 83</t>
    <phoneticPr fontId="1" type="noConversion"/>
  </si>
  <si>
    <t>Burghele 83</t>
    <phoneticPr fontId="1" type="noConversion"/>
  </si>
  <si>
    <t>Warren 97 Lee 98</t>
  </si>
  <si>
    <t>Kong 99</t>
  </si>
  <si>
    <t>Warren 99</t>
  </si>
  <si>
    <t>Warren et al. (1999)</t>
    <phoneticPr fontId="1" type="noConversion"/>
  </si>
  <si>
    <t>Warren, P. H., Kallemeyn, G. W., &amp; Kyte, F. T. (1999). Origin of planetary cores: evidence from highly siderophile elements in martian meteorites. Geochimica et Cosmochimica Acta, 63(13-14), 2105-2122.</t>
    <phoneticPr fontId="1" type="noConversion"/>
  </si>
  <si>
    <t>EETA79001B</t>
    <phoneticPr fontId="1" type="noConversion"/>
  </si>
  <si>
    <t>McSween 83</t>
  </si>
  <si>
    <t>Burghele 83</t>
  </si>
  <si>
    <t>Warren 97</t>
  </si>
  <si>
    <t>GRV 99027</t>
    <phoneticPr fontId="1" type="noConversion"/>
  </si>
  <si>
    <t>Lin et al. (2008)</t>
    <phoneticPr fontId="1" type="noConversion"/>
  </si>
  <si>
    <t>Lin Y, Qi L, Wang G, et al. Bulk chemical composition of lherzolitic shergottite Grove Mountains 99027—Constraints on the mantle of Mars[J]. Meteoritics &amp; Planetary Science, 2008, 43(7): 1179-1187.</t>
    <phoneticPr fontId="1" type="noConversion"/>
  </si>
  <si>
    <t>LAR 06319/12011</t>
    <phoneticPr fontId="1" type="noConversion"/>
  </si>
  <si>
    <t>Sarbadhikari et al. (2009)</t>
    <phoneticPr fontId="1" type="noConversion"/>
  </si>
  <si>
    <t>Sarbadhikari A B, Day J M D, Liu Y, et al. Petrogenesis of olivine-phyric shergottite Larkman Nunatak 06319: Implications for enriched components in Martian basalts[J]. Geochimica et Cosmochimica Acta, 2009, 73(7): 2190-2214.</t>
    <phoneticPr fontId="1" type="noConversion"/>
  </si>
  <si>
    <t>LEW88516</t>
  </si>
  <si>
    <t>Dreibus et al. (1992)</t>
    <phoneticPr fontId="1" type="noConversion"/>
  </si>
  <si>
    <t>Dreibus G, Jochum K H, Palme H, et al. LEW 88516: A meteorite compositionally close to the" martian mantle"[J]. Meteoritics, vol. 27, no. 3, volume 27, page 216, 1992, 27.</t>
    <phoneticPr fontId="1" type="noConversion"/>
  </si>
  <si>
    <t>Los Angeles</t>
    <phoneticPr fontId="1" type="noConversion"/>
  </si>
  <si>
    <t>Rubin et al. (2000)</t>
    <phoneticPr fontId="1" type="noConversion"/>
  </si>
  <si>
    <t>Rubin A E, Warren P H, Greenwood J P, et al. Los Angeles: The most differentiated basaltic Martian meteorite[J]. Geology, 2000, 28(11): 1011-1014.</t>
    <phoneticPr fontId="1" type="noConversion"/>
  </si>
  <si>
    <t>Ikeda 2002</t>
  </si>
  <si>
    <t>NWA 1068</t>
    <phoneticPr fontId="1" type="noConversion"/>
  </si>
  <si>
    <t>Barrat et al. (2002)</t>
    <phoneticPr fontId="1" type="noConversion"/>
  </si>
  <si>
    <t>Barrat J A, Gillet P, Sautter V, et al. Petrology and chemistry of the basaltic shergottite North West Africa 480[J]. Meteoritics &amp; Planetary Science, 2002, 37(4): 487-499.</t>
    <phoneticPr fontId="1" type="noConversion"/>
  </si>
  <si>
    <t>Gillet et al. (2005)</t>
    <phoneticPr fontId="1" type="noConversion"/>
  </si>
  <si>
    <t>Gillet P, Barrat J A, Beck P, et al. Petrology, geochemistry, and cosmic‐ray exposure age of Iherzolitic shergottite Northwest Africa 1950[J]. Meteoritics &amp; Planetary Science, 2005, 40(8): 1175-1184.</t>
    <phoneticPr fontId="1" type="noConversion"/>
  </si>
  <si>
    <t>NWA 5214</t>
    <phoneticPr fontId="1" type="noConversion"/>
  </si>
  <si>
    <t>Yang et al. (2013)</t>
    <phoneticPr fontId="1" type="noConversion"/>
  </si>
  <si>
    <t>Yang S, Humayun M, Jefferson G, et al. Chemical composition of four shergottites from Northwest Africa (NWA 2800, NWA, 5214, NWA 5990, NWA 6342)[C]//Lunar and Planetary Science Conference. 2013 (JSC-CN-27947).</t>
    <phoneticPr fontId="1" type="noConversion"/>
  </si>
  <si>
    <t>NWA 2990</t>
    <phoneticPr fontId="1" type="noConversion"/>
  </si>
  <si>
    <t>Bunch et al. (2009)</t>
    <phoneticPr fontId="1" type="noConversion"/>
  </si>
  <si>
    <t>Bunch T E, Irving A J, Wittke J H, et al. Petrology and composition of Northwest Africa 2990: a new type of fine-grained, enriched, olivine-phyric shergottite[C]//40th Annual Lunar and Planetary Science Conference. 2009: 2274.</t>
    <phoneticPr fontId="1" type="noConversion"/>
  </si>
  <si>
    <t>NWA 6234</t>
    <phoneticPr fontId="1" type="noConversion"/>
  </si>
  <si>
    <t>Filiberto et al. (2012)</t>
    <phoneticPr fontId="1" type="noConversion"/>
  </si>
  <si>
    <t>Filiberto J, Chin E, Day J M D, et al. Geochemistry of intermediate olivine‐phyric shergottite Northwest Africa 6234, with similarities to basaltic shergottite Northwest Africa 480 and olivine‐phyric shergottite Northwest Africa 2990[J]. Meteoritics &amp; Planetary Science, 2012, 47(8): 1256-1273.</t>
    <phoneticPr fontId="1" type="noConversion"/>
  </si>
  <si>
    <t>Walton et al. (2012)</t>
    <phoneticPr fontId="1" type="noConversion"/>
  </si>
  <si>
    <t>Walton E L, Irving A J, Bunch T E, et al. Northwest Africa 4797: A strongly shocked ultramafic poikilitic shergottite related to compositionally intermediate Martian meteorites[J]. Meteoritics &amp; Planetary Science, 2012, 47(9): 1449-1474.</t>
    <phoneticPr fontId="1" type="noConversion"/>
  </si>
  <si>
    <t>NWA 480</t>
    <phoneticPr fontId="1" type="noConversion"/>
  </si>
  <si>
    <t>NWA 4925</t>
    <phoneticPr fontId="1" type="noConversion"/>
  </si>
  <si>
    <t>Kuehner et al. (2011)</t>
    <phoneticPr fontId="1" type="noConversion"/>
  </si>
  <si>
    <t>Kuehner S M, Irving A J, Herd C D K, et al. Pristine olivine-phyric Shergottite NWA 6162: A primitive magma with accumulated crystals derived from depleted Martian mantle[C]//42nd Lunar and Planetary Science Conference. 2011.</t>
    <phoneticPr fontId="1" type="noConversion"/>
  </si>
  <si>
    <t>NWA 5298</t>
    <phoneticPr fontId="1" type="noConversion"/>
  </si>
  <si>
    <t>Irving et al. (2011)</t>
    <phoneticPr fontId="1" type="noConversion"/>
  </si>
  <si>
    <t>Irving A J, Bunch T E, Kuehner S M, et al. Petrologic, elemental and isotopic characterization of shock-melted, enriched ultramafic poikilitic shergottite Northwest Africa 6342[C]//42nd Annual Lunar and Planetary Science Conference. 2011 (1608): 1612.</t>
    <phoneticPr fontId="1" type="noConversion"/>
  </si>
  <si>
    <t>NWA 5789</t>
    <phoneticPr fontId="1" type="noConversion"/>
  </si>
  <si>
    <t>Irving et al. (2010)</t>
    <phoneticPr fontId="1" type="noConversion"/>
  </si>
  <si>
    <t>Irving A J. Petrologic, elemental and multi-isotopic characterization of permafic olivine-phyric shergottite Northwest Africa 5789: A primitive magma derived from depleted Martian mantle[C]//41th Lunar and Planetary Science Conference. 2010, 1547.</t>
    <phoneticPr fontId="1" type="noConversion"/>
  </si>
  <si>
    <t>Gross11</t>
  </si>
  <si>
    <t>NWA 5990</t>
    <phoneticPr fontId="1" type="noConversion"/>
  </si>
  <si>
    <t>Irving A J. Olivine-bearing diabasic shergottite Northwest Africa 5990: Petrology and composition of a new type of depleted martian igneous rock[C]//41th Lunar and Planetary Science Conference, 2010. 2010, 1833.</t>
    <phoneticPr fontId="1" type="noConversion"/>
  </si>
  <si>
    <t>NWA 6162</t>
    <phoneticPr fontId="1" type="noConversion"/>
  </si>
  <si>
    <t>NWA 6342</t>
    <phoneticPr fontId="1" type="noConversion"/>
  </si>
  <si>
    <t>NWA 7635</t>
  </si>
  <si>
    <t>Lapen et al. (2017)</t>
    <phoneticPr fontId="1" type="noConversion"/>
  </si>
  <si>
    <t>Lapen T J, Righter M, Andreasen R, et al. Two billion years of magmatism recorded from a single Mars meteorite ejection site[J]. Science Advances, 2017, 3(2): e1600922.</t>
    <phoneticPr fontId="1" type="noConversion"/>
  </si>
  <si>
    <t>NWA 8159</t>
    <phoneticPr fontId="1" type="noConversion"/>
  </si>
  <si>
    <t>Herd et al. (2017)</t>
    <phoneticPr fontId="1" type="noConversion"/>
  </si>
  <si>
    <t>Herd C D K, Walton E L, Agee C B, et al. The Northwest Africa 8159 martian meteorite: Expanding the martian sample suite to the early Amazonian[J]. Geochimica et Cosmochimica Acta, 2017, 218: 1-26.</t>
    <phoneticPr fontId="1" type="noConversion"/>
  </si>
  <si>
    <t>NWA 856</t>
    <phoneticPr fontId="1" type="noConversion"/>
  </si>
  <si>
    <t>Jambon et al. (2002)</t>
    <phoneticPr fontId="1" type="noConversion"/>
  </si>
  <si>
    <t>Jambon A, Barrat J A, Sautter V, et al. The basaltic shergottite Northwest Africa 856: Petrology and chemistry[J]. Meteoritics &amp; Planetary Science, 2002, 37(9): 1147-1164.</t>
    <phoneticPr fontId="1" type="noConversion"/>
  </si>
  <si>
    <t>QUE 94201</t>
    <phoneticPr fontId="1" type="noConversion"/>
  </si>
  <si>
    <t>Kring et al. (2003)</t>
    <phoneticPr fontId="1" type="noConversion"/>
  </si>
  <si>
    <t>Kring, David A., et al. "Composition of the first bulk melt sample from a volcanic region of Mars: Queen Alexandra Range 94201." Meteoritics &amp; Planetary Science 38.12 (2003): 1833-1848.</t>
    <phoneticPr fontId="1" type="noConversion"/>
  </si>
  <si>
    <t>Warren96</t>
  </si>
  <si>
    <t>Warren 99</t>
    <phoneticPr fontId="1" type="noConversion"/>
  </si>
  <si>
    <t>RBT 04262</t>
    <phoneticPr fontId="1" type="noConversion"/>
  </si>
  <si>
    <t>Anand et al. (2008)</t>
    <phoneticPr fontId="1" type="noConversion"/>
  </si>
  <si>
    <t>Anand M, James S, Greenwood R C, et al. Mineralogy and geochemistry of shergottite RBT 04262[J]. 2008.</t>
    <phoneticPr fontId="1" type="noConversion"/>
  </si>
  <si>
    <t>Dreibus 82</t>
  </si>
  <si>
    <t>McCarthy 74</t>
  </si>
  <si>
    <t>Duke 1968</t>
    <phoneticPr fontId="1" type="noConversion"/>
  </si>
  <si>
    <t>Laul 86</t>
  </si>
  <si>
    <t>Gross et al. (2011)</t>
    <phoneticPr fontId="1" type="noConversion"/>
  </si>
  <si>
    <t>Gross, Juliane, et al. "Primitive olivine‐phyric shergottite NWA 5789: Petrography, mineral chemistry, and cooling history imply a magma similar to Yamato‐980459." Meteoritics &amp; Planetary Science 46.1 (2011): 116-133.</t>
    <phoneticPr fontId="1" type="noConversion"/>
  </si>
  <si>
    <t>Tissint</t>
  </si>
  <si>
    <t>Liu et al. (2016)</t>
    <phoneticPr fontId="1" type="noConversion"/>
  </si>
  <si>
    <t>Liu, Yang, et al. "Mineral chemistry of the Tissint meteorite: Indications of two‐stage crystallization in a closed system." Meteoritics &amp; Planetary Science 51.12 (2016): 2293-2315.</t>
    <phoneticPr fontId="1" type="noConversion"/>
  </si>
  <si>
    <t>Aoudjehane et al. (2012)</t>
    <phoneticPr fontId="1" type="noConversion"/>
  </si>
  <si>
    <t>Aoudjehane, H. Chennaoui, et al. "Tissint Martian meteorite: A fresh look at the interior, surface, and atmosphere of Mars." Science 338.6108 (2012): 785-788.</t>
    <phoneticPr fontId="1" type="noConversion"/>
  </si>
  <si>
    <t>Herd et al. (2013)</t>
    <phoneticPr fontId="1" type="noConversion"/>
  </si>
  <si>
    <t>Herd, C. D. K., et al. "Tissint among the shergottites: Parental melt composition, redox state, La/Yb and V/Sc." 44th Annual Lunar and Planetary Science Conference. No. 1719. 2013.</t>
    <phoneticPr fontId="1" type="noConversion"/>
  </si>
  <si>
    <t>NWA 5298</t>
  </si>
  <si>
    <t>NWA 7257</t>
    <phoneticPr fontId="1" type="noConversion"/>
  </si>
  <si>
    <t>NWA 3171</t>
  </si>
  <si>
    <t>DaG 476</t>
  </si>
  <si>
    <t>LAR 12240,7</t>
    <phoneticPr fontId="1" type="noConversion"/>
  </si>
  <si>
    <t>LAR 12011,12</t>
  </si>
  <si>
    <t>LAR 12095,14</t>
    <phoneticPr fontId="1" type="noConversion"/>
  </si>
  <si>
    <t>NWA 8679</t>
    <phoneticPr fontId="1" type="noConversion"/>
  </si>
  <si>
    <t>Tissint</t>
    <phoneticPr fontId="1" type="noConversion"/>
  </si>
  <si>
    <t>NWA 6963</t>
    <phoneticPr fontId="1" type="noConversion"/>
  </si>
  <si>
    <t>NWA 2986</t>
    <phoneticPr fontId="1" type="noConversion"/>
  </si>
  <si>
    <t>NWA 7721</t>
    <phoneticPr fontId="1" type="noConversion"/>
  </si>
  <si>
    <t>NWA 6342</t>
  </si>
  <si>
    <t>EETA 79001</t>
  </si>
  <si>
    <t>ALHA 77005</t>
  </si>
  <si>
    <t>LAR 06319</t>
    <phoneticPr fontId="1" type="noConversion"/>
  </si>
  <si>
    <t>NWA 10593</t>
    <phoneticPr fontId="1" type="noConversion"/>
  </si>
  <si>
    <t>Dho 019</t>
  </si>
  <si>
    <t>NWA 8656</t>
    <phoneticPr fontId="1" type="noConversion"/>
  </si>
  <si>
    <t>SaU 051</t>
    <phoneticPr fontId="1" type="noConversion"/>
  </si>
  <si>
    <t>Y000593</t>
  </si>
  <si>
    <t>Y000749</t>
  </si>
  <si>
    <t>ALH-77005</t>
  </si>
  <si>
    <t>Y-793605</t>
  </si>
  <si>
    <t>Y980459</t>
  </si>
  <si>
    <t>group</t>
    <phoneticPr fontId="1" type="noConversion"/>
  </si>
  <si>
    <t>Lunar meteorite</t>
  </si>
  <si>
    <t>Apollo sample</t>
    <phoneticPr fontId="1" type="noConversion"/>
  </si>
  <si>
    <t>basalt</t>
    <phoneticPr fontId="1" type="noConversion"/>
  </si>
  <si>
    <t>Sum</t>
    <phoneticPr fontId="1" type="noConversion"/>
  </si>
  <si>
    <t>Resample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</si>
</sst>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00_);[Red]\(0.00\)"/>
    <numFmt numFmtId="178" formatCode="0.0_);[Red]\(0.0\)"/>
    <numFmt numFmtId="179" formatCode="0_);[Red]\(0\)"/>
  </numFmts>
  <fonts count="10"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Arial"/>
      <family val="2"/>
    </font>
    <font>
      <b/>
      <sz val="11"/>
      <color theme="1"/>
      <name val="等线"/>
      <family val="2"/>
      <scheme val="minor"/>
    </font>
    <font>
      <b/>
      <sz val="11"/>
      <color theme="1"/>
      <name val="等线"/>
      <family val="3"/>
      <charset val="134"/>
      <scheme val="minor"/>
    </font>
    <font>
      <sz val="12"/>
      <color theme="1"/>
      <name val="等线"/>
      <family val="2"/>
      <scheme val="minor"/>
    </font>
    <font>
      <b/>
      <sz val="11"/>
      <color theme="1"/>
      <name val="Arial"/>
      <family val="2"/>
    </font>
    <font>
      <sz val="8"/>
      <color theme="1"/>
      <name val="等线"/>
      <family val="3"/>
      <charset val="134"/>
      <scheme val="minor"/>
    </font>
    <font>
      <sz val="8"/>
      <color theme="1"/>
      <name val="等线"/>
      <family val="4"/>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bottom/>
      <diagonal/>
    </border>
  </borders>
  <cellStyleXfs count="2">
    <xf numFmtId="0" fontId="0" fillId="0" borderId="0"/>
    <xf numFmtId="0" fontId="6" fillId="0" borderId="0"/>
  </cellStyleXfs>
  <cellXfs count="25">
    <xf numFmtId="0" fontId="0" fillId="0" borderId="0" xfId="0"/>
    <xf numFmtId="176" fontId="2" fillId="0" borderId="0" xfId="0" applyNumberFormat="1" applyFont="1" applyAlignment="1">
      <alignment horizontal="left" vertical="center"/>
    </xf>
    <xf numFmtId="177" fontId="0" fillId="0" borderId="0" xfId="0" applyNumberFormat="1" applyAlignment="1">
      <alignment horizontal="center" vertical="center"/>
    </xf>
    <xf numFmtId="2" fontId="3" fillId="0" borderId="0" xfId="0" applyNumberFormat="1" applyFont="1" applyAlignment="1">
      <alignment horizontal="center" vertical="center"/>
    </xf>
    <xf numFmtId="178" fontId="0" fillId="0" borderId="0" xfId="0" applyNumberFormat="1" applyAlignment="1">
      <alignment horizontal="center" vertical="center"/>
    </xf>
    <xf numFmtId="176" fontId="0" fillId="0" borderId="0" xfId="0" applyNumberFormat="1"/>
    <xf numFmtId="176" fontId="4" fillId="0" borderId="0" xfId="0" applyNumberFormat="1" applyFont="1" applyAlignment="1">
      <alignment horizontal="left" vertical="center"/>
    </xf>
    <xf numFmtId="176" fontId="4" fillId="0" borderId="0" xfId="0" applyNumberFormat="1" applyFont="1"/>
    <xf numFmtId="176" fontId="5" fillId="0" borderId="0" xfId="0" applyNumberFormat="1" applyFont="1" applyAlignment="1">
      <alignment horizontal="left" vertical="center"/>
    </xf>
    <xf numFmtId="176" fontId="4" fillId="0" borderId="0" xfId="0" applyNumberFormat="1" applyFont="1" applyAlignment="1">
      <alignment horizontal="center" vertical="center"/>
    </xf>
    <xf numFmtId="0" fontId="7" fillId="0" borderId="1" xfId="1" applyFont="1" applyBorder="1" applyAlignment="1">
      <alignment horizontal="center" vertical="center" wrapText="1"/>
    </xf>
    <xf numFmtId="176" fontId="8" fillId="0" borderId="0" xfId="0" applyNumberFormat="1" applyFont="1" applyAlignment="1">
      <alignment vertical="center"/>
    </xf>
    <xf numFmtId="0" fontId="4" fillId="0" borderId="0" xfId="0" applyFont="1"/>
    <xf numFmtId="0" fontId="0" fillId="0" borderId="0" xfId="0" applyAlignment="1">
      <alignment horizontal="left" vertical="center"/>
    </xf>
    <xf numFmtId="176" fontId="0" fillId="0" borderId="0" xfId="0" applyNumberFormat="1" applyAlignment="1">
      <alignment horizontal="left" vertical="center"/>
    </xf>
    <xf numFmtId="176" fontId="8" fillId="0" borderId="0" xfId="0" applyNumberFormat="1" applyFont="1"/>
    <xf numFmtId="177" fontId="0" fillId="0" borderId="0" xfId="0" applyNumberFormat="1" applyAlignment="1">
      <alignment horizontal="left" vertical="center"/>
    </xf>
    <xf numFmtId="179" fontId="0" fillId="0" borderId="0" xfId="0" applyNumberFormat="1" applyAlignment="1">
      <alignment horizontal="center" vertical="center"/>
    </xf>
    <xf numFmtId="0" fontId="0" fillId="0" borderId="0" xfId="0" applyAlignment="1">
      <alignment horizontal="left"/>
    </xf>
    <xf numFmtId="176" fontId="9" fillId="0" borderId="0" xfId="0" applyNumberFormat="1" applyFont="1"/>
    <xf numFmtId="0" fontId="9" fillId="0" borderId="0" xfId="0" applyFont="1"/>
    <xf numFmtId="0" fontId="9" fillId="0" borderId="0" xfId="0" applyFont="1" applyAlignment="1">
      <alignment vertical="center"/>
    </xf>
    <xf numFmtId="176" fontId="9" fillId="0" borderId="0" xfId="0" applyNumberFormat="1" applyFont="1" applyAlignment="1">
      <alignment vertical="center"/>
    </xf>
    <xf numFmtId="0" fontId="4" fillId="0" borderId="0" xfId="0" applyFont="1" applyAlignment="1">
      <alignment horizontal="center" vertical="center"/>
    </xf>
    <xf numFmtId="0" fontId="0" fillId="0" borderId="0" xfId="0" applyAlignment="1">
      <alignment horizontal="center" vertical="center"/>
    </xf>
  </cellXfs>
  <cellStyles count="2">
    <cellStyle name="Normal 4" xfId="1" xr:uid="{677B6E12-4760-41CA-B940-F533274C7D0A}"/>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hyperlink" Target="https://onlinelibrary.wiley.com/cms/asset/1b5fc30e-85d3-4782-a660-ea785f865ab3/maps_1393_f15.gif" TargetMode="External"/><Relationship Id="rId18" Type="http://schemas.openxmlformats.org/officeDocument/2006/relationships/hyperlink" Target="https://onlinelibrary.wiley.com/cms/asset/5c677528-5b10-4912-87b2-8a42e22405e2/maps_1393_f20.gif" TargetMode="External"/><Relationship Id="rId26" Type="http://schemas.openxmlformats.org/officeDocument/2006/relationships/hyperlink" Target="https://onlinelibrary.wiley.com/cms/asset/123d6149-08ed-4d6d-b1f9-5e19db869a13/maps_1393_f28.gif" TargetMode="External"/><Relationship Id="rId3" Type="http://schemas.openxmlformats.org/officeDocument/2006/relationships/hyperlink" Target="https://onlinelibrary.wiley.com/cms/asset/2d380f06-d676-4948-9408-eb8674011283/maps_1393_f5.gif" TargetMode="External"/><Relationship Id="rId21" Type="http://schemas.openxmlformats.org/officeDocument/2006/relationships/hyperlink" Target="https://onlinelibrary.wiley.com/cms/asset/4b893070-2f8d-4e7b-8d27-859e36b44dc5/maps_1393_f23.gif" TargetMode="External"/><Relationship Id="rId34" Type="http://schemas.openxmlformats.org/officeDocument/2006/relationships/hyperlink" Target="https://onlinelibrary.wiley.com/toc/19455100/2012/47/8" TargetMode="External"/><Relationship Id="rId7" Type="http://schemas.openxmlformats.org/officeDocument/2006/relationships/hyperlink" Target="https://onlinelibrary.wiley.com/cms/asset/c3284d27-cd5d-405d-9889-02bb9d8b3161/maps_1393_f9.gif" TargetMode="External"/><Relationship Id="rId12" Type="http://schemas.openxmlformats.org/officeDocument/2006/relationships/hyperlink" Target="https://onlinelibrary.wiley.com/cms/asset/f527990d-d764-4fdb-bbee-9564a96cc4fc/maps_1393_f14.gif" TargetMode="External"/><Relationship Id="rId17" Type="http://schemas.openxmlformats.org/officeDocument/2006/relationships/hyperlink" Target="https://onlinelibrary.wiley.com/cms/asset/be99b331-8045-4287-bfd4-d18d93e2c1bb/maps_1393_f19.gif" TargetMode="External"/><Relationship Id="rId25" Type="http://schemas.openxmlformats.org/officeDocument/2006/relationships/hyperlink" Target="https://onlinelibrary.wiley.com/cms/asset/6797a2e0-8ab1-415a-b390-bb344dd43a29/maps_1393_f27.gif" TargetMode="External"/><Relationship Id="rId33" Type="http://schemas.openxmlformats.org/officeDocument/2006/relationships/hyperlink" Target="https://onlinelibrary.wiley.com/cms/asset/97232997-bf6f-4abe-bce6-bb73bc3c0cb0/maps_1393_f35.gif" TargetMode="External"/><Relationship Id="rId2" Type="http://schemas.openxmlformats.org/officeDocument/2006/relationships/hyperlink" Target="https://onlinelibrary.wiley.com/cms/asset/c71e6436-0662-49d3-b4ac-0764348f34ab/maps_1393_f4.gif" TargetMode="External"/><Relationship Id="rId16" Type="http://schemas.openxmlformats.org/officeDocument/2006/relationships/hyperlink" Target="https://onlinelibrary.wiley.com/cms/asset/80c494e1-1e53-4df4-8a91-715e216e6331/maps_1393_f18.gif" TargetMode="External"/><Relationship Id="rId20" Type="http://schemas.openxmlformats.org/officeDocument/2006/relationships/hyperlink" Target="https://onlinelibrary.wiley.com/cms/asset/bc20bc8b-010f-40c0-af96-a41764e25741/maps_1393_f22.gif" TargetMode="External"/><Relationship Id="rId29" Type="http://schemas.openxmlformats.org/officeDocument/2006/relationships/hyperlink" Target="https://onlinelibrary.wiley.com/cms/asset/5334ff6f-8c73-4c8d-9ed0-ab9aea94360c/maps_1393_f31.gif" TargetMode="External"/><Relationship Id="rId1" Type="http://schemas.openxmlformats.org/officeDocument/2006/relationships/hyperlink" Target="https://onlinelibrary.wiley.com/cms/asset/a47ef863-52e7-4593-bf74-d3766c70bdcd/maps_1393_f3.gif" TargetMode="External"/><Relationship Id="rId6" Type="http://schemas.openxmlformats.org/officeDocument/2006/relationships/hyperlink" Target="https://onlinelibrary.wiley.com/cms/asset/c953ac20-ab25-4e02-ab22-2c6d01cd4d76/maps_1393_f8.gif" TargetMode="External"/><Relationship Id="rId11" Type="http://schemas.openxmlformats.org/officeDocument/2006/relationships/hyperlink" Target="https://onlinelibrary.wiley.com/cms/asset/2d1736f3-6199-4a08-ae10-7016e8043eb8/maps_1393_f13.gif" TargetMode="External"/><Relationship Id="rId24" Type="http://schemas.openxmlformats.org/officeDocument/2006/relationships/hyperlink" Target="https://onlinelibrary.wiley.com/cms/asset/ec6ce29e-eb79-458d-be73-79c8003b2056/maps_1393_f26.gif" TargetMode="External"/><Relationship Id="rId32" Type="http://schemas.openxmlformats.org/officeDocument/2006/relationships/hyperlink" Target="https://onlinelibrary.wiley.com/cms/asset/af865dac-d1cc-44ad-a8dd-1e311ca61753/maps_1393_f34.gif" TargetMode="External"/><Relationship Id="rId5" Type="http://schemas.openxmlformats.org/officeDocument/2006/relationships/hyperlink" Target="https://onlinelibrary.wiley.com/cms/asset/79c092cf-017a-41b9-9029-5ce6e9337fad/maps_1393_f7.gif" TargetMode="External"/><Relationship Id="rId15" Type="http://schemas.openxmlformats.org/officeDocument/2006/relationships/hyperlink" Target="https://onlinelibrary.wiley.com/cms/asset/320012d6-bede-409b-9495-b04cf5d7b43c/maps_1393_f17.gif" TargetMode="External"/><Relationship Id="rId23" Type="http://schemas.openxmlformats.org/officeDocument/2006/relationships/hyperlink" Target="https://onlinelibrary.wiley.com/cms/asset/33bb48b3-c273-4aaf-8a7f-58ffce754e66/maps_1393_f25.gif" TargetMode="External"/><Relationship Id="rId28" Type="http://schemas.openxmlformats.org/officeDocument/2006/relationships/hyperlink" Target="https://onlinelibrary.wiley.com/cms/asset/c3379c64-ae6c-475e-b6c3-a32fbae5e9fb/maps_1393_f30.gif" TargetMode="External"/><Relationship Id="rId10" Type="http://schemas.openxmlformats.org/officeDocument/2006/relationships/hyperlink" Target="https://onlinelibrary.wiley.com/cms/asset/ed573520-84a0-46fa-b537-acc7ad7d3ce0/maps_1393_f12.gif" TargetMode="External"/><Relationship Id="rId19" Type="http://schemas.openxmlformats.org/officeDocument/2006/relationships/hyperlink" Target="https://onlinelibrary.wiley.com/cms/asset/87f0bd73-9a99-4c12-8de0-0238b3de8a3d/maps_1393_f21.gif" TargetMode="External"/><Relationship Id="rId31" Type="http://schemas.openxmlformats.org/officeDocument/2006/relationships/hyperlink" Target="https://onlinelibrary.wiley.com/cms/asset/895ccbd7-6e0a-483e-9f5a-3fd7a2b6f0ac/maps_1393_f33.gif" TargetMode="External"/><Relationship Id="rId4" Type="http://schemas.openxmlformats.org/officeDocument/2006/relationships/hyperlink" Target="https://onlinelibrary.wiley.com/cms/asset/5aa940a7-3b04-4abd-a457-c400b97686af/maps_1393_f6.gif" TargetMode="External"/><Relationship Id="rId9" Type="http://schemas.openxmlformats.org/officeDocument/2006/relationships/hyperlink" Target="https://onlinelibrary.wiley.com/cms/asset/ab4dd3e1-6132-4eb9-a848-4d7c01b9814e/maps_1393_f11.gif" TargetMode="External"/><Relationship Id="rId14" Type="http://schemas.openxmlformats.org/officeDocument/2006/relationships/hyperlink" Target="https://onlinelibrary.wiley.com/cms/asset/1408dfee-6d3a-4d10-964d-703a0854b1d3/maps_1393_f16.gif" TargetMode="External"/><Relationship Id="rId22" Type="http://schemas.openxmlformats.org/officeDocument/2006/relationships/hyperlink" Target="https://onlinelibrary.wiley.com/cms/asset/6fb5a7f8-4245-4cec-b556-2d94f5750de9/maps_1393_f24.gif" TargetMode="External"/><Relationship Id="rId27" Type="http://schemas.openxmlformats.org/officeDocument/2006/relationships/hyperlink" Target="https://onlinelibrary.wiley.com/cms/asset/5c727b0c-caa8-4a88-a52f-d4c66544ee18/maps_1393_f29.gif" TargetMode="External"/><Relationship Id="rId30" Type="http://schemas.openxmlformats.org/officeDocument/2006/relationships/hyperlink" Target="https://onlinelibrary.wiley.com/cms/asset/1a3de9ab-2a40-4772-8dce-93de3c2795a8/maps_1393_f32.gif" TargetMode="External"/><Relationship Id="rId8" Type="http://schemas.openxmlformats.org/officeDocument/2006/relationships/hyperlink" Target="https://onlinelibrary.wiley.com/cms/asset/027f6b5d-f7a1-4453-94ad-0f89783b4eae/maps_1393_f10.gif"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521</xdr:row>
      <xdr:rowOff>0</xdr:rowOff>
    </xdr:from>
    <xdr:to>
      <xdr:col>2</xdr:col>
      <xdr:colOff>304800</xdr:colOff>
      <xdr:row>522</xdr:row>
      <xdr:rowOff>123824</xdr:rowOff>
    </xdr:to>
    <xdr:sp macro="" textlink="">
      <xdr:nvSpPr>
        <xdr:cNvPr id="2"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287A93C6-1F89-0C48-A237-45134C37D753}"/>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A26E73CA-34AF-D540-91A8-53DF0F7077C5}"/>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6785FBE0-9850-F04E-8406-7DF1DBA92617}"/>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DD52518F-19F7-3D46-A6CB-12131FDBE63A}"/>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B1FABBC6-E470-4147-A1B6-6D4E4F56D77F}"/>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7"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52F3F81B-074F-944C-9008-321F7B821C4C}"/>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8"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D8D68F9A-DE2B-E54D-B9B2-41507D35FBAD}"/>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9"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F32CFE95-C354-1F4D-856B-F863C1019315}"/>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0"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BEC06481-D44F-C842-B5E8-1DCD47051638}"/>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1"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809199AD-44E9-8E4E-946E-77B57FA4FA50}"/>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2"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CE37658A-7223-0342-81C4-5EEACF42F740}"/>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3"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93DC3582-A73D-EF44-B530-F2542E59F05E}"/>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4"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E717625A-9C8D-9E45-A234-3278DD7F8752}"/>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5"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830C853B-6E95-0343-9639-4E00C6BEE7DE}"/>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6"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29B35553-9996-6D46-953C-35C592FC3DB7}"/>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7"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3C42F340-0A48-8745-BB21-D88C0F64B9DD}"/>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8"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0FED8E42-E085-7848-A3D9-76C28FED56BC}"/>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19"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29408BF9-955E-4C49-BB0C-3671435574A9}"/>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0"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A77ECB55-2317-6F44-BCF6-012A92AC26D0}"/>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1"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5DF9D763-3863-C64E-B6D1-52FB9557A04D}"/>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2"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F660BE64-40F6-F74C-86C8-0BDA8F829859}"/>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3"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D8DA3551-276E-0D49-AAA7-853FA2267F90}"/>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4"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90E611DA-9B19-CF49-B19D-11A8984F1201}"/>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5"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AE8A4095-5B58-AD47-826C-0753BAFA5877}"/>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6"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34843B58-C069-2942-B43B-4D7C21A58F91}"/>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7"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2080D773-6921-C345-9781-23EC08996A1D}"/>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8"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3C7A85E5-5E4A-2640-8299-7717D15B233A}"/>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29"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ABDCE26D-5E95-4A4F-8306-873B263C7E7B}"/>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0"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6C673C97-58A2-A443-8AEE-56A26153FD71}"/>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1"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C0F7DF25-1D9D-B749-93E3-04BFC38A3E23}"/>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2"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F044F453-35BF-A741-B21E-D649B7521425}"/>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3"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17B20765-3B99-C14D-816A-4CCF2F38EE69}"/>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4"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152AA085-ABEF-C54E-9CCB-EDC29ABA803A}"/>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5" name="AutoShape 34">
          <a:hlinkClick xmlns:r="http://schemas.openxmlformats.org/officeDocument/2006/relationships" r:id="rId34" tooltip="View Volume 47, Issue 8"/>
          <a:extLst>
            <a:ext uri="{FF2B5EF4-FFF2-40B4-BE49-F238E27FC236}">
              <a16:creationId xmlns:a16="http://schemas.microsoft.com/office/drawing/2014/main" id="{9FEAD496-4167-7B41-B6BD-3638E1C438B6}"/>
            </a:ext>
          </a:extLst>
        </xdr:cNvPr>
        <xdr:cNvSpPr>
          <a:spLocks noChangeAspect="1" noChangeArrowheads="1"/>
        </xdr:cNvSpPr>
      </xdr:nvSpPr>
      <xdr:spPr bwMode="auto">
        <a:xfrm>
          <a:off x="2197100" y="339090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6"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EE09BCDE-AEDC-0B47-8F4E-26361A4C146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7"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E7360120-BB3B-4F4A-8339-3A29E11B1D0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8"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3D25D91E-88E5-7240-992E-9E9B85BA1BA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39"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A381E949-01B0-F54E-A4FE-97E9DE1390A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0"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4A031845-1725-2C45-AF5A-7826F150F1B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1"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2555A9C1-F0F5-9344-8076-68216F25111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2"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906A25CE-90AC-3145-8B39-D71B07EC6AE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3"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779C2009-94A3-6E4F-8DD4-3B0D772C063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4"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2701CC87-524A-5944-9395-4AFE72CE437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5"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D55F4D31-40CD-C84B-A420-91F6BE0AFB1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6"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42FDC34B-1BB5-5547-8D66-709FCCBC902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7"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47FC391B-1365-D242-9A5C-757424988EE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8"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8E468257-7918-4443-B0E8-C965F945238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49"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3B5D936D-4F48-384F-A417-816499C19F0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0"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A86E913F-221F-B847-A1D5-3ACE74E88A9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1"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36E7117C-EA2E-2845-967A-9216BA31CC2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2"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F1781407-C29D-9D48-89B2-152533A36FB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3"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2E2CBAF9-0EA1-644B-93E3-EE55A0F703F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4"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DB6018F0-AB87-B54E-B063-2D1C2C9709B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5"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03CB029B-9A80-E141-B48F-6465052295F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6"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55FE04CA-E71A-8141-9A5A-4550DCFDA81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7"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44FAC326-94FC-EF42-B238-D277119D85B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8"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5BFEADFC-1417-8D41-9120-DF5FADE0440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59"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D5A33165-73B4-6F4C-917F-62E399A8820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0"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51FB5268-257B-0F45-AF56-DD6CC135CFD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1"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9AF782A2-5667-B449-B54A-4C610DE996A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2"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14B268E9-C243-A449-BEF1-D68A9AA95A8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3"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444D4D3E-D76A-144A-B695-FDF5AC21E1A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4"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FEBF76E5-33CE-4E4E-97DD-04B6B61A870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5"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0064B7AE-1701-C646-A5E6-AABAC89BAE0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6"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8581BB13-D227-7048-8062-741166F216B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7"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EF9087DA-C148-3D4F-AC3A-7812227E2A5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8"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A6ED03B8-248D-E646-BDD2-C8220CAA7EE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521</xdr:row>
      <xdr:rowOff>0</xdr:rowOff>
    </xdr:from>
    <xdr:to>
      <xdr:col>2</xdr:col>
      <xdr:colOff>304800</xdr:colOff>
      <xdr:row>522</xdr:row>
      <xdr:rowOff>123824</xdr:rowOff>
    </xdr:to>
    <xdr:sp macro="" textlink="">
      <xdr:nvSpPr>
        <xdr:cNvPr id="69" name="AutoShape 34">
          <a:hlinkClick xmlns:r="http://schemas.openxmlformats.org/officeDocument/2006/relationships" r:id="rId34" tooltip="View Volume 47, Issue 8"/>
          <a:extLst>
            <a:ext uri="{FF2B5EF4-FFF2-40B4-BE49-F238E27FC236}">
              <a16:creationId xmlns:a16="http://schemas.microsoft.com/office/drawing/2014/main" id="{ED530788-E872-5842-9FD3-9E88222B7BA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521</xdr:row>
      <xdr:rowOff>0</xdr:rowOff>
    </xdr:from>
    <xdr:ext cx="304800" cy="310091"/>
    <xdr:sp macro="" textlink="">
      <xdr:nvSpPr>
        <xdr:cNvPr id="70"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5B64E895-924C-0A48-B99B-1497A28DCB9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1"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EB6FEC89-4D18-AB42-BF31-0A03F29ECE5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2"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BA905BD7-2BF4-2F4C-8C77-D2C85E4008A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3"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49775101-C657-544B-9F81-0B60E6F7AD2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4"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D628AD9C-FFDC-C746-A681-6CF871AD4F1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5"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474BEBD5-EA2D-1548-AAA9-0B1C990316E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6"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C729BB86-B799-0847-AA69-D3E626C57E7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7"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E7EF9BCD-8892-0843-89AF-77D3331C90B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8"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B03D7D84-B8C7-D142-9A76-92842454F87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79"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C1A2B8E3-E9BB-4F45-BB1A-9608E0906A5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0"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DAEAF0C3-A138-B44A-B568-F7CD5AC3A9D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1"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AA9E0660-AB65-E047-A0C5-37E6E618E53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2"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883EEE53-F6F9-8F47-A664-983630CD6B3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3"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E56E02F6-349A-7E4D-801D-4018985D3F6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4"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1F30CA40-7135-EF4D-B048-9F1DC953898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5"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F96BB11A-7BD1-084E-9E56-9D5DDF7E7DE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6"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52AE0E2F-5F32-F840-9DAF-0D1090AE277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7"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C471C51B-51B7-A049-B266-A14FA815299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8"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41EB4EC2-6410-ED4A-BE3B-921A54A538C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89"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450E7A52-4E91-604F-B5A5-2FCA69DD052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0"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309EEDCB-65A6-2840-A21A-F57911527B3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1"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FB72103E-C273-5A43-B85B-75665718D9A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2"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A50399CA-01AA-104F-AD0D-6BE5C0BDB42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3"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35E58590-2EBC-134B-B0BD-EC29AE9CC51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4"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28969752-18AC-F647-8C4B-823D4DDFF0A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5"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BD66B8CC-FD90-9340-B2D1-3357FC55343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6"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A87AE5D6-62B1-9642-954C-E57E9548AA7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7"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B4D8683B-7397-4549-B9DA-26093B1C0A9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8"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FE544EA5-6E5B-6548-8C71-1C4E93E3FCC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99"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7DC4BDCD-D5CA-7646-A8B4-FBE6C1CFFFB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0"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1936EC27-4A3D-EF4C-9CDB-A3C34363381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1"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0B60EB55-105C-E44B-80F3-2E9BF398861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2"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A28FF396-DC05-8543-9BC8-C1B12004150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3" name="AutoShape 34">
          <a:hlinkClick xmlns:r="http://schemas.openxmlformats.org/officeDocument/2006/relationships" r:id="rId34" tooltip="View Volume 47, Issue 8"/>
          <a:extLst>
            <a:ext uri="{FF2B5EF4-FFF2-40B4-BE49-F238E27FC236}">
              <a16:creationId xmlns:a16="http://schemas.microsoft.com/office/drawing/2014/main" id="{A53D5C55-7F6C-0B4A-9F04-81775877909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4"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CA7685F7-FC99-CC48-B134-47D900CA903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5"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EE4C2748-3288-754E-945D-F94E3C6200A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6"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9586AE95-36C1-5B4E-BE1D-8AF0E38F345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7"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894D628F-7146-0349-BE07-471D9F03FCD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8"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E3006F1A-F270-494A-8752-34C0F3BCDF4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09"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C80561C2-ADDD-D14F-A571-C9CF109A6DB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0"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1046B40C-3256-9643-A678-AC10A0D15F0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1"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E070186B-C933-1243-BF2D-1AFE2DBAC3C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2"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6208AB3C-7546-0041-A1BE-22481D57FFC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3"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7C8A51BC-8119-074F-B124-9B4627E7DD7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4"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347127D2-3BEC-5C40-A724-DDA8E818E75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5"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AF71CDF5-E94B-1043-ADD3-A5979FE6B50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6"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20760633-EF6A-1A46-A508-EE9E029C997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7"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67FC4B89-E6AC-9345-B67D-323BBC488A2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8"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886164C7-BA84-4343-977D-0476E63068C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19"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6969E759-E4B7-0747-BD77-09B65E6717B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0"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1F7F128E-BA44-D341-9CC3-4CBC954BC51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1"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C45A183B-0EBD-224E-B53F-10ED34DF31E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2"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50F6A78D-8FFA-AD46-8C04-79171C73425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3"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8302D2ED-3B4A-7342-97FC-290FAE1F1B7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4"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EE90FADB-0940-1C4C-A66F-8296C2FB124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5"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9F2C28B2-69CC-9B4A-A94A-8E4E2871F0A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6"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25C9EAAA-7481-6C40-BD20-E140BC2944D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7"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F6E64B2D-09DB-3547-8380-7E6B3ED6B6F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8"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17DDFF91-48FC-7542-80C4-644E45D6565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29"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4D318EB5-FA10-7741-8ECA-5C1D8F02266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0"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D19E59FB-18F0-F744-9991-C8B1E96FA60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1"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8ABCE705-A3A5-C540-9725-BC005498F31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2"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51F7A3BD-0FA1-C94F-BAEF-875EA8B227B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3"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B5ACE39F-D5B7-B54A-84FD-92F232141A4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4"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3E447D6F-F498-EE44-A7BE-843A3F3E357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5"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FCBBABBD-EBFC-4C4F-8A18-AD3854D2B20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6"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F9142957-2901-F648-AAF3-44AFDB432AE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137" name="AutoShape 34">
          <a:hlinkClick xmlns:r="http://schemas.openxmlformats.org/officeDocument/2006/relationships" r:id="rId34" tooltip="View Volume 47, Issue 8"/>
          <a:extLst>
            <a:ext uri="{FF2B5EF4-FFF2-40B4-BE49-F238E27FC236}">
              <a16:creationId xmlns:a16="http://schemas.microsoft.com/office/drawing/2014/main" id="{B4842233-2E9E-994C-A72F-E7B8B20C306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4"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A69EF54A-A98C-D541-8271-436D45DCFB6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5"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9EEE4865-1F4B-8348-9E54-39EFBBE4884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6"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DD38A664-B139-0B43-A986-633AED55A92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7"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F83E2A2D-D336-0A47-BED0-67F5E2C267A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8"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1B364B72-88FC-D949-85E5-557D2F30741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79"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935F4B0E-DC41-6B4F-998B-869E3495B59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0"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0DD84225-B5F0-F142-A70B-BAA1F0931F8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1"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449EC712-39E0-D84B-AA17-3697B6840F0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2"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19E81FD1-C91C-764F-83BE-490177F762A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3"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4126C9FC-E1C6-1949-9CB8-C81DB032827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4"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F6F741EB-C88D-254A-8598-A6DAF3A34E5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5"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62FD2576-2148-CA4A-BE03-7CC15D43D5F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6"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62E4CE9D-EEF9-1743-949E-4D2E79959EF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7"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B71391FD-ADBF-0047-A51F-B60E9514C54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8"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6F8F3B62-A30D-9B4A-91B6-B364E393103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89"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D241A784-909F-234B-BB91-4343258ADF4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0"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21B13B32-9C23-EF40-BBB6-563EA7004C1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1"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FB62813E-422B-3044-8172-E059CF7EDF4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2"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E4CA483A-130D-964A-A803-9C288C1EF57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3"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3126FB67-DCFB-6244-9C3C-9E9089A74B0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4"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093DB986-32E0-E64E-82B3-C19A6A8F145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5"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2BC449AE-0DEF-C543-9E1C-C3752BB1A11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6"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F3D6EA20-E54E-C74A-847C-FAEA9B80423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7"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4294968F-EB6F-D940-905C-6F477672A59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8"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2B349860-66FA-AC43-B1B1-2EE7233AA30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299"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99EF835B-B72D-E641-8972-F85FE3CBCF3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0"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BFA4A738-BF86-6040-90E5-8D509362B22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1"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49DD74F9-811D-7046-9DA3-F9BDDA1C218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2"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D8A36DCC-7080-1F41-B0F9-66E202CA0AF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3"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881E6E88-71E7-DA43-B26E-5EF6659EDD4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4"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B9326225-5C4E-0A40-BD0A-A19FE4BD48F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5"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2962DFDF-589D-9541-A9CC-D29E06B3B4C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6"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2F3CEC60-5050-8946-AB60-DEB1F9503EF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7" name="AutoShape 34">
          <a:hlinkClick xmlns:r="http://schemas.openxmlformats.org/officeDocument/2006/relationships" r:id="rId34" tooltip="View Volume 47, Issue 8"/>
          <a:extLst>
            <a:ext uri="{FF2B5EF4-FFF2-40B4-BE49-F238E27FC236}">
              <a16:creationId xmlns:a16="http://schemas.microsoft.com/office/drawing/2014/main" id="{97EB5C4A-1101-8B48-A148-2497A60851E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8"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CF3900E0-4BB0-C34B-8034-7D4C348CA61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09"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7A0ACB0E-67C5-0A4A-8C0C-D241A9977C5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0"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883D0EE3-2C19-FD4A-BE44-2899EC19FAA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1"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D4A21FF5-AF26-9241-8507-6F9963B2274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2"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A8D0513D-DAA8-204C-9111-6DA0490053E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3"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49FD52EB-A4E9-304C-9510-465D22E924D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4"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64EADE29-29F3-5046-B80A-AD10CDF7081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5"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D3467397-D783-E943-A477-78A9AD3D380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6"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E5AD90AE-A02F-0749-AB85-B0B90045D0C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7"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402FD931-A7AD-E842-A64E-201EB465A3A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8"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3BD6B835-41A1-5941-8C4D-58DCB7F4BE0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19"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C575FE39-86B3-6F49-A555-6A6EE6B51F8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0"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FD6F64AF-8430-EF4D-94D1-C6E63B9FB43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1"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FA34E56B-9A73-6A4A-AADD-18FE670D8F7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2"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ACE0BC47-4292-D749-B03B-211C9D7D976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3"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5C4CA4F8-8940-0444-AE0D-F3489E47777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4"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55F4E883-DD66-5D4D-867B-29AF89B7DEF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5"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55088829-E410-7047-8F21-2D3568CFE21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6"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31ED9D28-2A9D-0F41-B6BE-4DD6D3A1E20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7"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EEA141AE-EE34-9D4F-AD1A-DA567B61DA0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8"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C17AA77D-DEF0-204E-82BA-5063B07BAAB4}"/>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29"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F14986BE-812A-3546-8CB3-A9F61F9B75D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0"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19573700-A9E8-A245-9217-2EB2CC99F11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1"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75EBBAA3-C907-A545-811B-F1ADB0CFCCD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2"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3CCA443B-0E00-FC45-BEDE-1E3E4F13A4B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3"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9D2DCCA3-8E7B-414F-B2A7-17B31A7B50E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4"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BF0728BB-DA7A-234B-8FF9-6931FEED087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5"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3A372FC1-EB2A-DE45-BC94-601C4D60314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6"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4EA84608-25D2-6249-AE8B-77F4B82A4BE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7"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193A1391-3398-314F-8E2E-1AB3C907349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8"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ECD330B7-28BC-A64C-BD5D-E116B2C2BAF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39"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B9974013-EB5E-AF44-9211-B60D1E60C93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0"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4E276B0F-A778-A449-8688-BB36352C7E0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1" name="AutoShape 34">
          <a:hlinkClick xmlns:r="http://schemas.openxmlformats.org/officeDocument/2006/relationships" r:id="rId34" tooltip="View Volume 47, Issue 8"/>
          <a:extLst>
            <a:ext uri="{FF2B5EF4-FFF2-40B4-BE49-F238E27FC236}">
              <a16:creationId xmlns:a16="http://schemas.microsoft.com/office/drawing/2014/main" id="{13B095B8-C9B2-8B4C-AE81-6C59BADC5FD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2"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63E8BEE4-C7BD-B847-B4C3-D2A0905BD81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3"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8C67172C-9005-EE4B-9981-CCFA7253150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4"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C2326E26-D514-D04A-8564-035A757D86C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5"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BE4D9459-F40E-994F-872B-58063E7BBF1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6"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80888522-2D1D-EF46-82F9-6196AF973D9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7"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88EBD910-82EC-C542-898D-10C8494ADDA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8"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09BCDA5E-3253-8A4E-9A86-EB740DB9144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49"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E6865DBD-0464-EC40-A328-023415D81DC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0"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B3DE22BE-D485-DC4A-BDAE-994D1F8C3F0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1"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63EFE44B-3725-A549-8C1A-6BA88241326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2"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70EE6960-E223-184B-963E-F4AFAAA2BC1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3"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724C7BB6-312B-954B-96F6-8718AA11FAF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4"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35311685-190B-664C-8E55-275B9A9A720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5"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026C60C7-769B-2C48-A14B-12012CD380A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6"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6D927AA7-5CFC-C244-B544-22F3A2355D4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7"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69521FB3-E1AE-F647-9891-F7B58520F72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8"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694D13D1-FC87-774F-851E-56AA05CAD48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59"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0C5C63D2-728E-F344-A2C7-59860053793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0"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18201E02-4D79-2A48-ADAB-B6174ED7C7F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1"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0398C140-7366-FA44-8B60-DC754C36128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2"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21A0DE2D-6E7A-A044-8426-3F2A2DC59D6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3"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3EEBD5B7-CDA4-F544-A6A9-D0A2E3E8CEA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4"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D1669B91-AE60-BF46-933C-BB942EA987B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5"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2F17AF1D-546F-764A-9E97-39C4861F656D}"/>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6"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834489F1-4A68-2149-ABD1-8B16A229966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7"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F29E45FD-C919-4346-AFA9-52B1D80757E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8"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E2FE3224-3B8E-D64D-86A5-534B5DD1CB6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69"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249DC670-8E5B-F64C-A37E-519D2B631CC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0"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7486D998-3278-0740-9520-5A2AEAC4C28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1"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F9E2B60E-D4F3-9D41-9A9E-BF05E323AAC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2"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3DA5C4AA-BDE7-3147-9EF6-8159AD9D33F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3"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4E7F1460-B634-2C4E-B878-D38FE99C6A0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4"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88EF2C36-19CD-F146-BB64-2E9523D07E8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5" name="AutoShape 34">
          <a:hlinkClick xmlns:r="http://schemas.openxmlformats.org/officeDocument/2006/relationships" r:id="rId34" tooltip="View Volume 47, Issue 8"/>
          <a:extLst>
            <a:ext uri="{FF2B5EF4-FFF2-40B4-BE49-F238E27FC236}">
              <a16:creationId xmlns:a16="http://schemas.microsoft.com/office/drawing/2014/main" id="{8AAD97AE-0AAC-084C-89AD-3A7E4B43D35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6"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A46593E7-0501-8947-BA7C-FA432A4D163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7"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DA54EDD8-C905-7841-BB18-A2475D20D43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8"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EFE12A35-EF59-9049-8D16-9EC66E77454F}"/>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79"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D1C18A34-78E8-DC4C-AAA4-7AED3A76743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0"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A665DB76-238C-1447-BB6D-221C8E40E02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1"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7B49C080-3F3B-994A-84A9-AE2FDCABEC7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2"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C9EAE351-8429-4445-A405-9F4E08316685}"/>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3"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622D5357-0CF0-7148-99AE-A94B88A607A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4"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70799659-A080-7C4A-8A1B-2FEA33C52BA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5"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4AAF864D-54A3-A24D-863B-3445E108B0A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6"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9BA5C91D-0347-9C4E-A9E6-A853FE11CA8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7"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7A5D626C-6E24-9349-81D3-472FAB8F0DB1}"/>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8"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40F01656-A356-AA4B-9C88-F7480CC9824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89"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A3321965-789E-9941-AB2B-272F09D5C41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0"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473A3F2F-70FE-AC49-B225-5ED66CE4A78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1"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4544AF76-71B5-C348-8C64-400F7C135C3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2"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B2736B00-3D89-C440-B049-671D60BCE5A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3"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BF6BBF99-FABD-0143-977F-7F8AA4FDFC49}"/>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4"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B53EC008-8A75-F746-B3F5-9BDF5326FB4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5"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A6AD9423-D29F-5A45-88D7-38E7C61902CB}"/>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6"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06D66B28-B08B-3047-A8D8-865578750E36}"/>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7"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3A356C0F-F5E0-9449-9D41-E6EC2705863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8"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73E6EFEB-F331-9C4F-9531-175046937933}"/>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399"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4B39C297-A283-2B4D-9BE0-334F4CA5195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0"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08C2E906-DD4D-AF4C-B9C8-F5D489264982}"/>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1"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C4878B8D-0BB0-5E4F-B723-FF762CDF6C5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2"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21CB1C3E-47E6-1E45-98C6-BAC17D25D2BC}"/>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3"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0E6CF5E6-86F9-9F4D-ACE6-8D65FCE7038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4"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C0BB0B75-8B96-9543-AE90-E0987F06028A}"/>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5"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3460E02F-C6DA-D34D-88B7-5A499C814308}"/>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6"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4AE75460-815C-BD4A-A03C-C60ED7A39BA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7"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364FE74B-3529-D84F-AB6E-24FF3F90A010}"/>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8"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BC123F6A-1609-B94B-ABC8-7CF9D568BF3E}"/>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10091"/>
    <xdr:sp macro="" textlink="">
      <xdr:nvSpPr>
        <xdr:cNvPr id="409" name="AutoShape 34">
          <a:hlinkClick xmlns:r="http://schemas.openxmlformats.org/officeDocument/2006/relationships" r:id="rId34" tooltip="View Volume 47, Issue 8"/>
          <a:extLst>
            <a:ext uri="{FF2B5EF4-FFF2-40B4-BE49-F238E27FC236}">
              <a16:creationId xmlns:a16="http://schemas.microsoft.com/office/drawing/2014/main" id="{15C007C4-52EF-D943-8227-75DFB7726B17}"/>
            </a:ext>
          </a:extLst>
        </xdr:cNvPr>
        <xdr:cNvSpPr>
          <a:spLocks noChangeAspect="1" noChangeArrowheads="1"/>
        </xdr:cNvSpPr>
      </xdr:nvSpPr>
      <xdr:spPr bwMode="auto">
        <a:xfrm>
          <a:off x="2201333" y="3911600"/>
          <a:ext cx="304800" cy="3100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1229</xdr:row>
      <xdr:rowOff>0</xdr:rowOff>
    </xdr:from>
    <xdr:to>
      <xdr:col>2</xdr:col>
      <xdr:colOff>304800</xdr:colOff>
      <xdr:row>1230</xdr:row>
      <xdr:rowOff>123826</xdr:rowOff>
    </xdr:to>
    <xdr:sp macro="" textlink="">
      <xdr:nvSpPr>
        <xdr:cNvPr id="138" name="AutoShape 1" descr="Details are in the caption following the image">
          <a:hlinkClick xmlns:r="http://schemas.openxmlformats.org/officeDocument/2006/relationships" r:id="rId1" tgtFrame="_blank"/>
          <a:extLst>
            <a:ext uri="{FF2B5EF4-FFF2-40B4-BE49-F238E27FC236}">
              <a16:creationId xmlns:a16="http://schemas.microsoft.com/office/drawing/2014/main" id="{A7E99436-0966-344C-9284-E3111AD5C773}"/>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39" name="AutoShape 2" descr="Details are in the caption following the image">
          <a:hlinkClick xmlns:r="http://schemas.openxmlformats.org/officeDocument/2006/relationships" r:id="rId2" tgtFrame="_blank"/>
          <a:extLst>
            <a:ext uri="{FF2B5EF4-FFF2-40B4-BE49-F238E27FC236}">
              <a16:creationId xmlns:a16="http://schemas.microsoft.com/office/drawing/2014/main" id="{F76216B6-8F8A-4244-9681-EF783F3B85AA}"/>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0" name="AutoShape 3" descr="Details are in the caption following the image">
          <a:hlinkClick xmlns:r="http://schemas.openxmlformats.org/officeDocument/2006/relationships" r:id="rId3" tgtFrame="_blank"/>
          <a:extLst>
            <a:ext uri="{FF2B5EF4-FFF2-40B4-BE49-F238E27FC236}">
              <a16:creationId xmlns:a16="http://schemas.microsoft.com/office/drawing/2014/main" id="{3D81347A-8DAE-414A-9D64-FB5BCA594D40}"/>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1" name="AutoShape 4" descr="Details are in the caption following the image">
          <a:hlinkClick xmlns:r="http://schemas.openxmlformats.org/officeDocument/2006/relationships" r:id="rId4" tgtFrame="_blank"/>
          <a:extLst>
            <a:ext uri="{FF2B5EF4-FFF2-40B4-BE49-F238E27FC236}">
              <a16:creationId xmlns:a16="http://schemas.microsoft.com/office/drawing/2014/main" id="{54C78C57-8930-8648-82C6-1EF90A82F498}"/>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2" name="AutoShape 5" descr="Details are in the caption following the image">
          <a:hlinkClick xmlns:r="http://schemas.openxmlformats.org/officeDocument/2006/relationships" r:id="rId5" tgtFrame="_blank"/>
          <a:extLst>
            <a:ext uri="{FF2B5EF4-FFF2-40B4-BE49-F238E27FC236}">
              <a16:creationId xmlns:a16="http://schemas.microsoft.com/office/drawing/2014/main" id="{95CC1E0A-BDC9-4B49-8C27-303E793B828F}"/>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3" name="AutoShape 6" descr="Details are in the caption following the image">
          <a:hlinkClick xmlns:r="http://schemas.openxmlformats.org/officeDocument/2006/relationships" r:id="rId6" tgtFrame="_blank"/>
          <a:extLst>
            <a:ext uri="{FF2B5EF4-FFF2-40B4-BE49-F238E27FC236}">
              <a16:creationId xmlns:a16="http://schemas.microsoft.com/office/drawing/2014/main" id="{61B58815-F400-7945-8E5B-85987836440E}"/>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4" name="AutoShape 7" descr="Details are in the caption following the image">
          <a:hlinkClick xmlns:r="http://schemas.openxmlformats.org/officeDocument/2006/relationships" r:id="rId7" tgtFrame="_blank"/>
          <a:extLst>
            <a:ext uri="{FF2B5EF4-FFF2-40B4-BE49-F238E27FC236}">
              <a16:creationId xmlns:a16="http://schemas.microsoft.com/office/drawing/2014/main" id="{485B7D0A-E3E6-B743-B826-2D931D150C57}"/>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5" name="AutoShape 8" descr="Details are in the caption following the image">
          <a:hlinkClick xmlns:r="http://schemas.openxmlformats.org/officeDocument/2006/relationships" r:id="rId8" tgtFrame="_blank"/>
          <a:extLst>
            <a:ext uri="{FF2B5EF4-FFF2-40B4-BE49-F238E27FC236}">
              <a16:creationId xmlns:a16="http://schemas.microsoft.com/office/drawing/2014/main" id="{024E3A79-C7B8-9846-BD90-268FF8B2A8E9}"/>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6" name="AutoShape 9" descr="Details are in the caption following the image">
          <a:hlinkClick xmlns:r="http://schemas.openxmlformats.org/officeDocument/2006/relationships" r:id="rId9" tgtFrame="_blank"/>
          <a:extLst>
            <a:ext uri="{FF2B5EF4-FFF2-40B4-BE49-F238E27FC236}">
              <a16:creationId xmlns:a16="http://schemas.microsoft.com/office/drawing/2014/main" id="{74E1D17B-B931-554C-8478-7CEE6378E069}"/>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7" name="AutoShape 10" descr="Details are in the caption following the image">
          <a:hlinkClick xmlns:r="http://schemas.openxmlformats.org/officeDocument/2006/relationships" r:id="rId10" tgtFrame="_blank"/>
          <a:extLst>
            <a:ext uri="{FF2B5EF4-FFF2-40B4-BE49-F238E27FC236}">
              <a16:creationId xmlns:a16="http://schemas.microsoft.com/office/drawing/2014/main" id="{8BDAE3CA-D374-1141-B14A-83DD9238843B}"/>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8" name="AutoShape 11" descr="Details are in the caption following the image">
          <a:hlinkClick xmlns:r="http://schemas.openxmlformats.org/officeDocument/2006/relationships" r:id="rId11" tgtFrame="_blank"/>
          <a:extLst>
            <a:ext uri="{FF2B5EF4-FFF2-40B4-BE49-F238E27FC236}">
              <a16:creationId xmlns:a16="http://schemas.microsoft.com/office/drawing/2014/main" id="{B7F0E421-452B-B746-8FC4-9A8EB7DF4D4D}"/>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49" name="AutoShape 12" descr="Details are in the caption following the image">
          <a:hlinkClick xmlns:r="http://schemas.openxmlformats.org/officeDocument/2006/relationships" r:id="rId12" tgtFrame="_blank"/>
          <a:extLst>
            <a:ext uri="{FF2B5EF4-FFF2-40B4-BE49-F238E27FC236}">
              <a16:creationId xmlns:a16="http://schemas.microsoft.com/office/drawing/2014/main" id="{86A1ADA7-E393-2B4F-B5D1-476ED848DEE5}"/>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0" name="AutoShape 13" descr="Details are in the caption following the image">
          <a:hlinkClick xmlns:r="http://schemas.openxmlformats.org/officeDocument/2006/relationships" r:id="rId13" tgtFrame="_blank"/>
          <a:extLst>
            <a:ext uri="{FF2B5EF4-FFF2-40B4-BE49-F238E27FC236}">
              <a16:creationId xmlns:a16="http://schemas.microsoft.com/office/drawing/2014/main" id="{F338A13F-8371-594C-B56A-F69A469ADFA8}"/>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1" name="AutoShape 14" descr="Details are in the caption following the image">
          <a:hlinkClick xmlns:r="http://schemas.openxmlformats.org/officeDocument/2006/relationships" r:id="rId14" tgtFrame="_blank"/>
          <a:extLst>
            <a:ext uri="{FF2B5EF4-FFF2-40B4-BE49-F238E27FC236}">
              <a16:creationId xmlns:a16="http://schemas.microsoft.com/office/drawing/2014/main" id="{5A009033-FCF3-0344-8806-B2E8014B2A60}"/>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2" name="AutoShape 15" descr="Details are in the caption following the image">
          <a:hlinkClick xmlns:r="http://schemas.openxmlformats.org/officeDocument/2006/relationships" r:id="rId15" tgtFrame="_blank"/>
          <a:extLst>
            <a:ext uri="{FF2B5EF4-FFF2-40B4-BE49-F238E27FC236}">
              <a16:creationId xmlns:a16="http://schemas.microsoft.com/office/drawing/2014/main" id="{4D9A2CB7-1DA8-3648-B98B-503A627BF675}"/>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3" name="AutoShape 16" descr="Details are in the caption following the image">
          <a:hlinkClick xmlns:r="http://schemas.openxmlformats.org/officeDocument/2006/relationships" r:id="rId16" tgtFrame="_blank"/>
          <a:extLst>
            <a:ext uri="{FF2B5EF4-FFF2-40B4-BE49-F238E27FC236}">
              <a16:creationId xmlns:a16="http://schemas.microsoft.com/office/drawing/2014/main" id="{18A94125-5172-284B-A458-F579AA6D897C}"/>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4" name="AutoShape 17" descr="Details are in the caption following the image">
          <a:hlinkClick xmlns:r="http://schemas.openxmlformats.org/officeDocument/2006/relationships" r:id="rId17" tgtFrame="_blank"/>
          <a:extLst>
            <a:ext uri="{FF2B5EF4-FFF2-40B4-BE49-F238E27FC236}">
              <a16:creationId xmlns:a16="http://schemas.microsoft.com/office/drawing/2014/main" id="{D0579BF6-E6FD-BE4B-9808-3A18682250D0}"/>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5" name="AutoShape 18" descr="Details are in the caption following the image">
          <a:hlinkClick xmlns:r="http://schemas.openxmlformats.org/officeDocument/2006/relationships" r:id="rId18" tgtFrame="_blank"/>
          <a:extLst>
            <a:ext uri="{FF2B5EF4-FFF2-40B4-BE49-F238E27FC236}">
              <a16:creationId xmlns:a16="http://schemas.microsoft.com/office/drawing/2014/main" id="{6E65F14F-0524-2F4E-B5BD-9657B250F629}"/>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6" name="AutoShape 19" descr="Details are in the caption following the image">
          <a:hlinkClick xmlns:r="http://schemas.openxmlformats.org/officeDocument/2006/relationships" r:id="rId19" tgtFrame="_blank"/>
          <a:extLst>
            <a:ext uri="{FF2B5EF4-FFF2-40B4-BE49-F238E27FC236}">
              <a16:creationId xmlns:a16="http://schemas.microsoft.com/office/drawing/2014/main" id="{AEDDBB5E-6EAD-1144-8464-AADD17BD12E3}"/>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7" name="AutoShape 20" descr="Details are in the caption following the image">
          <a:hlinkClick xmlns:r="http://schemas.openxmlformats.org/officeDocument/2006/relationships" r:id="rId20" tgtFrame="_blank"/>
          <a:extLst>
            <a:ext uri="{FF2B5EF4-FFF2-40B4-BE49-F238E27FC236}">
              <a16:creationId xmlns:a16="http://schemas.microsoft.com/office/drawing/2014/main" id="{355AA0C7-D979-4C44-AE0A-813AB3F09306}"/>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8" name="AutoShape 21" descr="Details are in the caption following the image">
          <a:hlinkClick xmlns:r="http://schemas.openxmlformats.org/officeDocument/2006/relationships" r:id="rId21" tgtFrame="_blank"/>
          <a:extLst>
            <a:ext uri="{FF2B5EF4-FFF2-40B4-BE49-F238E27FC236}">
              <a16:creationId xmlns:a16="http://schemas.microsoft.com/office/drawing/2014/main" id="{C736E9D3-1542-9B4A-8756-306BAB345FF1}"/>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59" name="AutoShape 22" descr="Details are in the caption following the image">
          <a:hlinkClick xmlns:r="http://schemas.openxmlformats.org/officeDocument/2006/relationships" r:id="rId22" tgtFrame="_blank"/>
          <a:extLst>
            <a:ext uri="{FF2B5EF4-FFF2-40B4-BE49-F238E27FC236}">
              <a16:creationId xmlns:a16="http://schemas.microsoft.com/office/drawing/2014/main" id="{A6230F56-B638-8548-9323-19DDE9BBCD1A}"/>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0" name="AutoShape 23" descr="Details are in the caption following the image">
          <a:hlinkClick xmlns:r="http://schemas.openxmlformats.org/officeDocument/2006/relationships" r:id="rId23" tgtFrame="_blank"/>
          <a:extLst>
            <a:ext uri="{FF2B5EF4-FFF2-40B4-BE49-F238E27FC236}">
              <a16:creationId xmlns:a16="http://schemas.microsoft.com/office/drawing/2014/main" id="{6AB436A0-0091-BC48-8BD1-AE6F10D288C8}"/>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1" name="AutoShape 24" descr="Details are in the caption following the image">
          <a:hlinkClick xmlns:r="http://schemas.openxmlformats.org/officeDocument/2006/relationships" r:id="rId24" tgtFrame="_blank"/>
          <a:extLst>
            <a:ext uri="{FF2B5EF4-FFF2-40B4-BE49-F238E27FC236}">
              <a16:creationId xmlns:a16="http://schemas.microsoft.com/office/drawing/2014/main" id="{4209D6A6-375F-4A46-80AF-CED618A60A41}"/>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2" name="AutoShape 25" descr="Details are in the caption following the image">
          <a:hlinkClick xmlns:r="http://schemas.openxmlformats.org/officeDocument/2006/relationships" r:id="rId25" tgtFrame="_blank"/>
          <a:extLst>
            <a:ext uri="{FF2B5EF4-FFF2-40B4-BE49-F238E27FC236}">
              <a16:creationId xmlns:a16="http://schemas.microsoft.com/office/drawing/2014/main" id="{D69823A6-2D96-1045-A384-3D3AF9D05C7D}"/>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3" name="AutoShape 26" descr="Details are in the caption following the image">
          <a:hlinkClick xmlns:r="http://schemas.openxmlformats.org/officeDocument/2006/relationships" r:id="rId26" tgtFrame="_blank"/>
          <a:extLst>
            <a:ext uri="{FF2B5EF4-FFF2-40B4-BE49-F238E27FC236}">
              <a16:creationId xmlns:a16="http://schemas.microsoft.com/office/drawing/2014/main" id="{C0268612-DD9F-6644-8337-C767F269C549}"/>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4" name="AutoShape 27" descr="Details are in the caption following the image">
          <a:hlinkClick xmlns:r="http://schemas.openxmlformats.org/officeDocument/2006/relationships" r:id="rId27" tgtFrame="_blank"/>
          <a:extLst>
            <a:ext uri="{FF2B5EF4-FFF2-40B4-BE49-F238E27FC236}">
              <a16:creationId xmlns:a16="http://schemas.microsoft.com/office/drawing/2014/main" id="{562ED73B-C915-7247-985F-A3BD240DAF49}"/>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5" name="AutoShape 28" descr="Details are in the caption following the image">
          <a:hlinkClick xmlns:r="http://schemas.openxmlformats.org/officeDocument/2006/relationships" r:id="rId28" tgtFrame="_blank"/>
          <a:extLst>
            <a:ext uri="{FF2B5EF4-FFF2-40B4-BE49-F238E27FC236}">
              <a16:creationId xmlns:a16="http://schemas.microsoft.com/office/drawing/2014/main" id="{7B7C2B5E-358B-C146-9238-C898AB308781}"/>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6" name="AutoShape 29" descr="Details are in the caption following the image">
          <a:hlinkClick xmlns:r="http://schemas.openxmlformats.org/officeDocument/2006/relationships" r:id="rId29" tgtFrame="_blank"/>
          <a:extLst>
            <a:ext uri="{FF2B5EF4-FFF2-40B4-BE49-F238E27FC236}">
              <a16:creationId xmlns:a16="http://schemas.microsoft.com/office/drawing/2014/main" id="{4829E1DD-975C-CB4D-92BA-5C018C94EB61}"/>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7" name="AutoShape 30" descr="Details are in the caption following the image">
          <a:hlinkClick xmlns:r="http://schemas.openxmlformats.org/officeDocument/2006/relationships" r:id="rId30" tgtFrame="_blank"/>
          <a:extLst>
            <a:ext uri="{FF2B5EF4-FFF2-40B4-BE49-F238E27FC236}">
              <a16:creationId xmlns:a16="http://schemas.microsoft.com/office/drawing/2014/main" id="{74C3AB79-FF6B-2745-9877-73C71409C374}"/>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8" name="AutoShape 31" descr="Details are in the caption following the image">
          <a:hlinkClick xmlns:r="http://schemas.openxmlformats.org/officeDocument/2006/relationships" r:id="rId31" tgtFrame="_blank"/>
          <a:extLst>
            <a:ext uri="{FF2B5EF4-FFF2-40B4-BE49-F238E27FC236}">
              <a16:creationId xmlns:a16="http://schemas.microsoft.com/office/drawing/2014/main" id="{15891168-985E-F948-9387-F8A565276CC3}"/>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69" name="AutoShape 32" descr="Details are in the caption following the image">
          <a:hlinkClick xmlns:r="http://schemas.openxmlformats.org/officeDocument/2006/relationships" r:id="rId32" tgtFrame="_blank"/>
          <a:extLst>
            <a:ext uri="{FF2B5EF4-FFF2-40B4-BE49-F238E27FC236}">
              <a16:creationId xmlns:a16="http://schemas.microsoft.com/office/drawing/2014/main" id="{8FABC2E9-B9CF-1046-921D-914C858B75EE}"/>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70" name="AutoShape 33" descr="Details are in the caption following the image">
          <a:hlinkClick xmlns:r="http://schemas.openxmlformats.org/officeDocument/2006/relationships" r:id="rId33" tgtFrame="_blank"/>
          <a:extLst>
            <a:ext uri="{FF2B5EF4-FFF2-40B4-BE49-F238E27FC236}">
              <a16:creationId xmlns:a16="http://schemas.microsoft.com/office/drawing/2014/main" id="{3D694BBA-0591-3642-A100-121FC77F3178}"/>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1229</xdr:row>
      <xdr:rowOff>0</xdr:rowOff>
    </xdr:from>
    <xdr:to>
      <xdr:col>2</xdr:col>
      <xdr:colOff>304800</xdr:colOff>
      <xdr:row>1230</xdr:row>
      <xdr:rowOff>123826</xdr:rowOff>
    </xdr:to>
    <xdr:sp macro="" textlink="">
      <xdr:nvSpPr>
        <xdr:cNvPr id="171" name="AutoShape 34">
          <a:hlinkClick xmlns:r="http://schemas.openxmlformats.org/officeDocument/2006/relationships" r:id="rId34" tooltip="View Volume 47, Issue 8"/>
          <a:extLst>
            <a:ext uri="{FF2B5EF4-FFF2-40B4-BE49-F238E27FC236}">
              <a16:creationId xmlns:a16="http://schemas.microsoft.com/office/drawing/2014/main" id="{7ABF6D25-DFF5-994A-9103-03887715E05B}"/>
            </a:ext>
          </a:extLst>
        </xdr:cNvPr>
        <xdr:cNvSpPr>
          <a:spLocks noChangeAspect="1" noChangeArrowheads="1"/>
        </xdr:cNvSpPr>
      </xdr:nvSpPr>
      <xdr:spPr bwMode="auto">
        <a:xfrm>
          <a:off x="1524000" y="31813500"/>
          <a:ext cx="304800" cy="3143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59"/>
  <sheetViews>
    <sheetView tabSelected="1" zoomScale="75" workbookViewId="0">
      <pane ySplit="1" topLeftCell="A2" activePane="bottomLeft" state="frozen"/>
      <selection pane="bottomLeft" activeCell="AA18" sqref="AA18"/>
    </sheetView>
  </sheetViews>
  <sheetFormatPr defaultColWidth="8.83203125" defaultRowHeight="14" x14ac:dyDescent="0.3"/>
  <cols>
    <col min="1" max="1" width="11" style="14" customWidth="1"/>
    <col min="2" max="2" width="9.6640625" style="15" customWidth="1"/>
    <col min="3" max="3" width="10.5" style="15" customWidth="1"/>
    <col min="4" max="4" width="8.83203125" style="24"/>
    <col min="5" max="5" width="11" style="1" customWidth="1"/>
    <col min="6" max="6" width="6.6640625" style="17" customWidth="1"/>
    <col min="7" max="9" width="6.6640625" style="2" customWidth="1"/>
    <col min="10" max="10" width="6.6640625" style="17" customWidth="1"/>
    <col min="11" max="12" width="6.6640625" style="2" customWidth="1"/>
    <col min="13" max="14" width="6.6640625" style="17" customWidth="1"/>
    <col min="15" max="15" width="6.6640625" style="2" customWidth="1"/>
    <col min="16" max="17" width="7.1640625" customWidth="1"/>
    <col min="25" max="25" width="15.58203125" customWidth="1"/>
  </cols>
  <sheetData>
    <row r="1" spans="1:27" s="12" customFormat="1" x14ac:dyDescent="0.3">
      <c r="A1" s="6" t="s">
        <v>499</v>
      </c>
      <c r="B1" s="7" t="s">
        <v>12</v>
      </c>
      <c r="C1" s="7" t="s">
        <v>13</v>
      </c>
      <c r="D1" s="23" t="s">
        <v>760</v>
      </c>
      <c r="E1" s="8" t="s">
        <v>14</v>
      </c>
      <c r="F1" s="9" t="s">
        <v>0</v>
      </c>
      <c r="G1" s="9" t="s">
        <v>1</v>
      </c>
      <c r="H1" s="9" t="s">
        <v>2</v>
      </c>
      <c r="I1" s="9" t="s">
        <v>3</v>
      </c>
      <c r="J1" s="9" t="s">
        <v>4</v>
      </c>
      <c r="K1" s="9" t="s">
        <v>5</v>
      </c>
      <c r="L1" s="9" t="s">
        <v>6</v>
      </c>
      <c r="M1" s="9" t="s">
        <v>7</v>
      </c>
      <c r="N1" s="9" t="s">
        <v>8</v>
      </c>
      <c r="O1" s="9" t="s">
        <v>9</v>
      </c>
      <c r="P1" s="10" t="s">
        <v>10</v>
      </c>
      <c r="Q1" s="10" t="s">
        <v>11</v>
      </c>
    </row>
    <row r="2" spans="1:27" ht="14" customHeight="1" x14ac:dyDescent="0.3">
      <c r="A2" s="13" t="s">
        <v>15</v>
      </c>
      <c r="B2" s="11" t="s">
        <v>16</v>
      </c>
      <c r="C2" s="11" t="s">
        <v>17</v>
      </c>
      <c r="D2" s="24">
        <v>1</v>
      </c>
      <c r="E2" s="1" t="s">
        <v>162</v>
      </c>
      <c r="F2" s="2">
        <v>0.2596524629309927</v>
      </c>
      <c r="G2" s="2">
        <v>3.8896201369591106</v>
      </c>
      <c r="H2" s="2">
        <v>5.2396857622031954</v>
      </c>
      <c r="I2" s="2">
        <v>21.174883078408204</v>
      </c>
      <c r="J2" s="2">
        <v>7.4713519825893096E-2</v>
      </c>
      <c r="K2" s="2">
        <v>7.9331240972234598</v>
      </c>
      <c r="L2" s="2">
        <v>1.9358969511049897</v>
      </c>
      <c r="M2" s="2">
        <v>0.20526222292402738</v>
      </c>
      <c r="N2" s="2">
        <v>0.2245939354638623</v>
      </c>
      <c r="O2" s="2">
        <v>17.489456322031067</v>
      </c>
      <c r="P2" s="3">
        <v>33.8185935859997</v>
      </c>
      <c r="Q2" s="3">
        <v>1.9923604784901037</v>
      </c>
    </row>
    <row r="3" spans="1:27" ht="14.5" customHeight="1" x14ac:dyDescent="0.3">
      <c r="A3" s="14" t="s">
        <v>18</v>
      </c>
      <c r="B3" s="15" t="s">
        <v>19</v>
      </c>
      <c r="C3" s="11" t="s">
        <v>20</v>
      </c>
      <c r="D3" s="24">
        <v>1</v>
      </c>
      <c r="E3" s="1" t="s">
        <v>162</v>
      </c>
      <c r="F3" s="2">
        <v>0.27448974652704944</v>
      </c>
      <c r="G3" s="2">
        <v>5.0957039003572842</v>
      </c>
      <c r="H3" s="2">
        <v>4.6257427840056486</v>
      </c>
      <c r="I3" s="2">
        <v>20.894421050879618</v>
      </c>
      <c r="J3" s="2">
        <v>9.1316524231647128E-2</v>
      </c>
      <c r="K3" s="2">
        <v>7.7901849243005152</v>
      </c>
      <c r="L3" s="2">
        <v>1.8459946159143557</v>
      </c>
      <c r="M3" s="2">
        <v>0.12844277214771022</v>
      </c>
      <c r="N3" s="2">
        <v>0.25557240932094677</v>
      </c>
      <c r="O3" s="2">
        <v>17.878110906965091</v>
      </c>
      <c r="P3" s="3">
        <v>39.573180899119706</v>
      </c>
      <c r="Q3" s="3">
        <v>1.4204283117510552</v>
      </c>
    </row>
    <row r="4" spans="1:27" ht="14" customHeight="1" x14ac:dyDescent="0.3">
      <c r="A4" s="14" t="s">
        <v>21</v>
      </c>
      <c r="B4" s="15" t="s">
        <v>22</v>
      </c>
      <c r="C4" s="11" t="s">
        <v>23</v>
      </c>
      <c r="D4" s="24">
        <v>1</v>
      </c>
      <c r="E4" s="1" t="s">
        <v>162</v>
      </c>
      <c r="F4" s="2">
        <v>0.29674567192113455</v>
      </c>
      <c r="G4" s="2">
        <v>3.4674908197697496</v>
      </c>
      <c r="H4" s="2">
        <v>6.8221767146261802</v>
      </c>
      <c r="I4" s="2">
        <v>20.375566299951736</v>
      </c>
      <c r="J4" s="2">
        <v>0.10791952863740115</v>
      </c>
      <c r="K4" s="2">
        <v>9.4697202061451211</v>
      </c>
      <c r="L4" s="2">
        <v>0.9110103299317599</v>
      </c>
      <c r="M4" s="2">
        <v>3.5233678145257165E-2</v>
      </c>
      <c r="N4" s="2">
        <v>0.13940313235688007</v>
      </c>
      <c r="O4" s="2">
        <v>16.651483742648502</v>
      </c>
      <c r="P4" s="3">
        <v>32.362325389210071</v>
      </c>
      <c r="Q4" s="3">
        <v>0.26728639698170326</v>
      </c>
    </row>
    <row r="5" spans="1:27" x14ac:dyDescent="0.3">
      <c r="A5" s="14" t="s">
        <v>24</v>
      </c>
      <c r="B5" s="15" t="s">
        <v>25</v>
      </c>
      <c r="C5" s="11" t="s">
        <v>26</v>
      </c>
      <c r="D5" s="24">
        <v>1</v>
      </c>
      <c r="E5" s="1" t="s">
        <v>162</v>
      </c>
      <c r="F5" s="2">
        <v>0.22997789573887928</v>
      </c>
      <c r="G5" s="2">
        <v>8.1953391722905913</v>
      </c>
      <c r="H5" s="2">
        <v>4.2446747285726891</v>
      </c>
      <c r="I5" s="2">
        <v>20.903769785130571</v>
      </c>
      <c r="J5" s="2">
        <v>8.3015022028770119E-2</v>
      </c>
      <c r="K5" s="2">
        <v>6.5466141198708909</v>
      </c>
      <c r="L5" s="2">
        <v>0.80312752770299889</v>
      </c>
      <c r="M5" s="2">
        <v>0.35578623245979968</v>
      </c>
      <c r="N5" s="2">
        <v>0.2091046985353201</v>
      </c>
      <c r="O5" s="2">
        <v>16.968659178219475</v>
      </c>
      <c r="P5" s="3">
        <v>52.600038612295897</v>
      </c>
      <c r="Q5" s="3">
        <v>4.1682921797020196</v>
      </c>
      <c r="S5" t="s">
        <v>763</v>
      </c>
      <c r="W5" t="s">
        <v>764</v>
      </c>
    </row>
    <row r="6" spans="1:27" x14ac:dyDescent="0.3">
      <c r="A6" s="14" t="s">
        <v>27</v>
      </c>
      <c r="B6" s="15" t="s">
        <v>28</v>
      </c>
      <c r="C6" s="11" t="s">
        <v>29</v>
      </c>
      <c r="D6" s="24">
        <v>1</v>
      </c>
      <c r="E6" s="1" t="s">
        <v>162</v>
      </c>
      <c r="F6" s="2">
        <v>0.28932703012310618</v>
      </c>
      <c r="G6" s="2">
        <v>3.5398558455736402</v>
      </c>
      <c r="H6" s="2">
        <v>5.2079300909171149</v>
      </c>
      <c r="I6" s="2">
        <v>21.034652064643911</v>
      </c>
      <c r="J6" s="2">
        <v>6.6412017623016087E-2</v>
      </c>
      <c r="K6" s="2">
        <v>7.9331240972234598</v>
      </c>
      <c r="L6" s="2">
        <v>2.0018253302447881</v>
      </c>
      <c r="M6" s="2">
        <v>0.17789392653415709</v>
      </c>
      <c r="N6" s="2">
        <v>0.21684931699959123</v>
      </c>
      <c r="O6" s="2">
        <v>17.800379989978286</v>
      </c>
      <c r="P6" s="3">
        <v>31.362289607740955</v>
      </c>
      <c r="Q6" s="3">
        <v>1.7416845228050255</v>
      </c>
      <c r="S6" t="s">
        <v>761</v>
      </c>
      <c r="U6">
        <v>11</v>
      </c>
      <c r="W6">
        <f>U6+U7</f>
        <v>513</v>
      </c>
    </row>
    <row r="7" spans="1:27" x14ac:dyDescent="0.3">
      <c r="A7" s="13" t="s">
        <v>30</v>
      </c>
      <c r="B7" s="11" t="s">
        <v>16</v>
      </c>
      <c r="C7" s="11" t="s">
        <v>17</v>
      </c>
      <c r="D7" s="24">
        <v>1</v>
      </c>
      <c r="E7" s="1" t="s">
        <v>162</v>
      </c>
      <c r="F7" s="2">
        <v>0.19288468674873746</v>
      </c>
      <c r="G7" s="2">
        <v>4.4022057364033342</v>
      </c>
      <c r="H7" s="2">
        <v>5.0015182275575949</v>
      </c>
      <c r="I7" s="2">
        <v>22.016269160993961</v>
      </c>
      <c r="J7" s="2">
        <v>2.4904506608631034E-2</v>
      </c>
      <c r="K7" s="2">
        <v>8.4334112024537689</v>
      </c>
      <c r="L7" s="2">
        <v>0.86905590684279732</v>
      </c>
      <c r="M7" s="2">
        <v>0.21210429702149497</v>
      </c>
      <c r="N7" s="2">
        <v>0.24782779085667567</v>
      </c>
      <c r="O7" s="2">
        <v>16.867608986136627</v>
      </c>
      <c r="P7" s="3">
        <v>37.486737504806804</v>
      </c>
      <c r="Q7" s="3">
        <v>2.1532682560513021</v>
      </c>
      <c r="S7" t="s">
        <v>762</v>
      </c>
      <c r="U7">
        <v>502</v>
      </c>
      <c r="Z7" t="s">
        <v>765</v>
      </c>
    </row>
    <row r="8" spans="1:27" x14ac:dyDescent="0.3">
      <c r="A8" s="14" t="s">
        <v>31</v>
      </c>
      <c r="B8" s="15" t="s">
        <v>32</v>
      </c>
      <c r="C8" s="11" t="s">
        <v>33</v>
      </c>
      <c r="D8" s="24">
        <v>1</v>
      </c>
      <c r="E8" s="1" t="s">
        <v>162</v>
      </c>
      <c r="F8" s="2">
        <v>0.37093208990141818</v>
      </c>
      <c r="G8" s="2">
        <v>3.8654984616911472</v>
      </c>
      <c r="H8" s="2">
        <v>6.0812110512843143</v>
      </c>
      <c r="I8" s="2">
        <v>21.202929281161062</v>
      </c>
      <c r="J8" s="2">
        <v>3.3206008811508043E-2</v>
      </c>
      <c r="K8" s="2">
        <v>8.5692034167305664</v>
      </c>
      <c r="L8" s="2">
        <v>0.99491917610968517</v>
      </c>
      <c r="M8" s="2">
        <v>5.4452048042670176E-2</v>
      </c>
      <c r="N8" s="2">
        <v>0.19361546160677787</v>
      </c>
      <c r="O8" s="2">
        <v>16.883083824680821</v>
      </c>
      <c r="P8" s="3">
        <v>34.472147182014666</v>
      </c>
      <c r="Q8" s="3">
        <v>0.46250353781180098</v>
      </c>
      <c r="Y8" s="1" t="s">
        <v>162</v>
      </c>
      <c r="Z8">
        <v>1</v>
      </c>
      <c r="AA8">
        <v>513</v>
      </c>
    </row>
    <row r="9" spans="1:27" x14ac:dyDescent="0.3">
      <c r="A9" s="14" t="s">
        <v>34</v>
      </c>
      <c r="B9" s="15" t="s">
        <v>35</v>
      </c>
      <c r="C9" s="11" t="s">
        <v>36</v>
      </c>
      <c r="D9" s="24">
        <v>1</v>
      </c>
      <c r="E9" s="1" t="s">
        <v>162</v>
      </c>
      <c r="F9" s="2">
        <v>0.19288468674873746</v>
      </c>
      <c r="G9" s="2">
        <v>4.486631599841207</v>
      </c>
      <c r="H9" s="2">
        <v>4.900958601818342</v>
      </c>
      <c r="I9" s="2">
        <v>21.969525489739194</v>
      </c>
      <c r="J9" s="2">
        <v>2.4904506608631034E-2</v>
      </c>
      <c r="K9" s="2">
        <v>8.4334112024537689</v>
      </c>
      <c r="L9" s="2">
        <v>0.8630624178300883</v>
      </c>
      <c r="M9" s="2">
        <v>0.10570596222292468</v>
      </c>
      <c r="N9" s="2">
        <v>0.24782779085667567</v>
      </c>
      <c r="O9" s="2">
        <v>17.100801737097044</v>
      </c>
      <c r="P9" s="3">
        <v>37.610230220029258</v>
      </c>
      <c r="Q9" s="3">
        <v>1.1068502363836061</v>
      </c>
      <c r="Y9" s="1" t="s">
        <v>163</v>
      </c>
      <c r="Z9">
        <v>2</v>
      </c>
      <c r="AA9">
        <v>513</v>
      </c>
    </row>
    <row r="10" spans="1:27" x14ac:dyDescent="0.3">
      <c r="A10" s="14" t="s">
        <v>37</v>
      </c>
      <c r="B10" s="11" t="s">
        <v>38</v>
      </c>
      <c r="C10" s="11" t="s">
        <v>39</v>
      </c>
      <c r="D10" s="24">
        <v>1</v>
      </c>
      <c r="E10" s="1" t="s">
        <v>162</v>
      </c>
      <c r="F10" s="2">
        <v>0.36351344810338981</v>
      </c>
      <c r="G10" s="2">
        <v>6.9349816395394992</v>
      </c>
      <c r="H10" s="2">
        <v>4.6786689028157822</v>
      </c>
      <c r="I10" s="2">
        <v>20.941164722134381</v>
      </c>
      <c r="J10" s="2">
        <v>4.9809013217262069E-2</v>
      </c>
      <c r="K10" s="2">
        <v>6.789610713839898</v>
      </c>
      <c r="L10" s="2">
        <v>1.6542029675076693</v>
      </c>
      <c r="M10" s="2">
        <v>0.42420859404298994</v>
      </c>
      <c r="N10" s="2">
        <v>0.2091046985353201</v>
      </c>
      <c r="O10" s="4">
        <v>16.416769667613163</v>
      </c>
      <c r="P10" s="3">
        <v>49.254379244090615</v>
      </c>
      <c r="Q10" s="3">
        <v>4.493594242894388</v>
      </c>
      <c r="S10" t="s">
        <v>761</v>
      </c>
      <c r="U10">
        <v>80</v>
      </c>
      <c r="W10">
        <f>U10+U11</f>
        <v>84</v>
      </c>
      <c r="Y10" t="s">
        <v>167</v>
      </c>
      <c r="Z10">
        <v>3</v>
      </c>
      <c r="AA10">
        <v>279</v>
      </c>
    </row>
    <row r="11" spans="1:27" x14ac:dyDescent="0.3">
      <c r="A11" s="14" t="s">
        <v>154</v>
      </c>
      <c r="B11" s="15" t="s">
        <v>151</v>
      </c>
      <c r="C11" s="15" t="s">
        <v>152</v>
      </c>
      <c r="D11" s="24">
        <v>1</v>
      </c>
      <c r="E11" s="1" t="s">
        <v>162</v>
      </c>
      <c r="F11" s="2">
        <v>0.37093208990141818</v>
      </c>
      <c r="G11" s="2">
        <v>3.8654984616911472</v>
      </c>
      <c r="H11" s="2">
        <v>6.0812110512843143</v>
      </c>
      <c r="I11" s="2">
        <v>21.202929281161062</v>
      </c>
      <c r="J11" s="2">
        <v>3.3206008811508043E-2</v>
      </c>
      <c r="K11" s="2">
        <v>8.5692034167305664</v>
      </c>
      <c r="L11" s="2">
        <v>0.99491917610968517</v>
      </c>
      <c r="M11" s="2">
        <v>0.11631525965694886</v>
      </c>
      <c r="N11" s="2">
        <v>0.19361546160677787</v>
      </c>
      <c r="O11" s="2">
        <v>16.929793719726074</v>
      </c>
      <c r="P11" s="3">
        <v>34.409764398189765</v>
      </c>
      <c r="Q11" s="3">
        <v>0.9827917423306034</v>
      </c>
      <c r="S11" t="s">
        <v>762</v>
      </c>
      <c r="U11">
        <v>4</v>
      </c>
      <c r="Y11" t="s">
        <v>196</v>
      </c>
      <c r="Z11">
        <v>4</v>
      </c>
      <c r="AA11">
        <v>513</v>
      </c>
    </row>
    <row r="12" spans="1:27" x14ac:dyDescent="0.3">
      <c r="A12" s="14" t="s">
        <v>156</v>
      </c>
      <c r="B12" s="15" t="s">
        <v>151</v>
      </c>
      <c r="C12" s="15" t="s">
        <v>152</v>
      </c>
      <c r="D12" s="24">
        <v>1</v>
      </c>
      <c r="E12" s="1" t="s">
        <v>162</v>
      </c>
      <c r="F12" s="2">
        <v>0.29674567192113455</v>
      </c>
      <c r="G12" s="2">
        <v>3.4674908197697496</v>
      </c>
      <c r="H12" s="2">
        <v>6.8221767146261802</v>
      </c>
      <c r="I12" s="2">
        <v>20.375566299951736</v>
      </c>
      <c r="J12" s="2">
        <v>0.10791952863740115</v>
      </c>
      <c r="K12" s="2">
        <v>9.4697202061451211</v>
      </c>
      <c r="L12" s="2">
        <v>0.9110103299317599</v>
      </c>
      <c r="M12" s="2">
        <v>7.5262815072143371E-2</v>
      </c>
      <c r="N12" s="2">
        <v>0.13940313235688007</v>
      </c>
      <c r="O12" s="2">
        <v>16.673281693669619</v>
      </c>
      <c r="P12" s="3">
        <v>32.333696350991573</v>
      </c>
      <c r="Q12" s="3">
        <v>0.56922311703270034</v>
      </c>
      <c r="Y12" t="s">
        <v>352</v>
      </c>
      <c r="Z12">
        <v>5</v>
      </c>
      <c r="AA12">
        <v>513</v>
      </c>
    </row>
    <row r="13" spans="1:27" x14ac:dyDescent="0.3">
      <c r="A13" s="13">
        <v>10071</v>
      </c>
      <c r="B13" s="15" t="s">
        <v>161</v>
      </c>
      <c r="C13" s="15" t="s">
        <v>159</v>
      </c>
      <c r="D13" s="24">
        <v>1</v>
      </c>
      <c r="E13" s="1" t="s">
        <v>162</v>
      </c>
      <c r="F13">
        <v>0.59349134384226909</v>
      </c>
      <c r="G13">
        <v>2.8282664251687177</v>
      </c>
      <c r="H13">
        <v>5.9753588136640472</v>
      </c>
      <c r="I13">
        <v>22.385544163906598</v>
      </c>
      <c r="J13">
        <v>0.34866309252083444</v>
      </c>
      <c r="K13">
        <v>7.7687440483620724</v>
      </c>
      <c r="L13">
        <v>3.4462561823076445</v>
      </c>
      <c r="M13">
        <v>4.7894518682273061E-2</v>
      </c>
      <c r="N13">
        <v>0.17038160621396453</v>
      </c>
      <c r="O13">
        <v>13.649549022882912</v>
      </c>
      <c r="P13" s="3">
        <v>32.25353517504675</v>
      </c>
      <c r="Q13" s="3">
        <v>0.41421267851647348</v>
      </c>
      <c r="Y13" t="s">
        <v>525</v>
      </c>
      <c r="Z13">
        <v>6</v>
      </c>
      <c r="AA13">
        <v>513</v>
      </c>
    </row>
    <row r="14" spans="1:27" x14ac:dyDescent="0.3">
      <c r="A14" s="13">
        <v>10044</v>
      </c>
      <c r="B14" s="15" t="s">
        <v>161</v>
      </c>
      <c r="C14" s="15" t="s">
        <v>159</v>
      </c>
      <c r="D14" s="24">
        <v>1</v>
      </c>
      <c r="E14" s="1" t="s">
        <v>162</v>
      </c>
      <c r="F14">
        <v>0.36600590522596371</v>
      </c>
      <c r="G14">
        <v>3.50037273307227</v>
      </c>
      <c r="H14">
        <v>6.0003859235150605</v>
      </c>
      <c r="I14">
        <v>19.402485583451913</v>
      </c>
      <c r="J14">
        <v>0.10600020434292529</v>
      </c>
      <c r="K14">
        <v>8.9000319954985994</v>
      </c>
      <c r="L14">
        <v>5.699522646847508</v>
      </c>
      <c r="M14">
        <v>0.11900307164805983</v>
      </c>
      <c r="N14">
        <v>0.20600121254861806</v>
      </c>
      <c r="O14">
        <v>14.399913330568967</v>
      </c>
      <c r="P14" s="3">
        <v>35.83679344326638</v>
      </c>
      <c r="Q14" s="3">
        <v>1.0186768708343028</v>
      </c>
      <c r="S14" t="s">
        <v>167</v>
      </c>
      <c r="U14">
        <v>44</v>
      </c>
      <c r="Y14" t="s">
        <v>554</v>
      </c>
      <c r="Z14">
        <v>7</v>
      </c>
      <c r="AA14">
        <v>513</v>
      </c>
    </row>
    <row r="15" spans="1:27" x14ac:dyDescent="0.3">
      <c r="A15" s="13">
        <v>10044</v>
      </c>
      <c r="B15" s="15" t="s">
        <v>160</v>
      </c>
      <c r="C15" s="15" t="s">
        <v>158</v>
      </c>
      <c r="D15" s="24">
        <v>1</v>
      </c>
      <c r="E15" s="1" t="s">
        <v>162</v>
      </c>
      <c r="F15">
        <v>0.28190838832507781</v>
      </c>
      <c r="G15">
        <v>3.6061904525605399</v>
      </c>
      <c r="H15">
        <v>5.5519498631829816</v>
      </c>
      <c r="I15">
        <v>20.048360601168387</v>
      </c>
      <c r="J15">
        <v>9.1316524231647128E-2</v>
      </c>
      <c r="K15">
        <v>8.8622287212226034</v>
      </c>
      <c r="L15">
        <v>5.0764851937644782</v>
      </c>
      <c r="M15">
        <v>0.12315733375441643</v>
      </c>
      <c r="N15">
        <v>0.21684931699959123</v>
      </c>
      <c r="O15">
        <v>14.349127275764156</v>
      </c>
      <c r="P15" s="3">
        <v>36.60641258875728</v>
      </c>
      <c r="Q15" s="3">
        <v>1.1380157390110688</v>
      </c>
      <c r="S15" t="s">
        <v>196</v>
      </c>
      <c r="U15">
        <v>316</v>
      </c>
      <c r="W15">
        <f>U14+U15+U16</f>
        <v>484</v>
      </c>
    </row>
    <row r="16" spans="1:27" x14ac:dyDescent="0.3">
      <c r="A16" s="13">
        <v>10058</v>
      </c>
      <c r="B16" s="15" t="s">
        <v>160</v>
      </c>
      <c r="C16" s="15" t="s">
        <v>158</v>
      </c>
      <c r="D16" s="24">
        <v>1</v>
      </c>
      <c r="E16" s="1" t="s">
        <v>162</v>
      </c>
      <c r="F16">
        <v>0.28932703012310618</v>
      </c>
      <c r="G16">
        <v>3.5639775208416036</v>
      </c>
      <c r="H16">
        <v>5.5307794156589276</v>
      </c>
      <c r="I16">
        <v>19.71648053525956</v>
      </c>
      <c r="J16">
        <v>9.1316524231647128E-2</v>
      </c>
      <c r="K16">
        <v>8.7764652174688358</v>
      </c>
      <c r="L16">
        <v>5.615899204908283</v>
      </c>
      <c r="M16">
        <v>0.13684148194935161</v>
      </c>
      <c r="N16">
        <v>0.23233855392813343</v>
      </c>
      <c r="O16">
        <v>14.737781860698179</v>
      </c>
      <c r="P16" s="3">
        <v>35.717669547075317</v>
      </c>
      <c r="Q16" s="3">
        <v>1.2676377439912205</v>
      </c>
      <c r="S16" t="s">
        <v>352</v>
      </c>
      <c r="U16">
        <v>124</v>
      </c>
    </row>
    <row r="17" spans="1:23" x14ac:dyDescent="0.3">
      <c r="A17" s="13">
        <v>10085</v>
      </c>
      <c r="B17" s="15" t="s">
        <v>160</v>
      </c>
      <c r="C17" s="15" t="s">
        <v>158</v>
      </c>
      <c r="D17" s="24">
        <v>1</v>
      </c>
      <c r="E17" s="1" t="s">
        <v>162</v>
      </c>
      <c r="F17">
        <v>0.29229448684231751</v>
      </c>
      <c r="G17">
        <v>4.221293171893608</v>
      </c>
      <c r="H17">
        <v>6.1923559007855937</v>
      </c>
      <c r="I17">
        <v>18.884443186924756</v>
      </c>
      <c r="J17">
        <v>4.3167811454960459E-2</v>
      </c>
      <c r="K17">
        <v>8.6478199618381861</v>
      </c>
      <c r="L17">
        <v>5.4540750015651414</v>
      </c>
      <c r="M17">
        <v>0.13957831158833861</v>
      </c>
      <c r="N17">
        <v>0.20368346561033032</v>
      </c>
      <c r="O17">
        <v>15.07979789544012</v>
      </c>
      <c r="P17" s="3">
        <v>39.142731009267081</v>
      </c>
      <c r="Q17" s="3">
        <v>1.1561544832209834</v>
      </c>
    </row>
    <row r="18" spans="1:23" x14ac:dyDescent="0.3">
      <c r="A18" s="13">
        <v>10058</v>
      </c>
      <c r="B18" s="15" t="s">
        <v>160</v>
      </c>
      <c r="C18" s="15" t="s">
        <v>158</v>
      </c>
      <c r="D18" s="24">
        <v>1</v>
      </c>
      <c r="E18" s="1" t="s">
        <v>162</v>
      </c>
      <c r="F18">
        <v>0.35609480630536144</v>
      </c>
      <c r="G18">
        <v>3.5941296149265578</v>
      </c>
      <c r="H18">
        <v>5.5254868037779143</v>
      </c>
      <c r="I18">
        <v>19.529505850240504</v>
      </c>
      <c r="J18">
        <v>7.0562768724454605E-2</v>
      </c>
      <c r="K18">
        <v>8.8193469693457196</v>
      </c>
      <c r="L18">
        <v>5.4360945345270153</v>
      </c>
      <c r="M18">
        <v>0.14026251899808537</v>
      </c>
      <c r="N18">
        <v>0.20600685114961167</v>
      </c>
      <c r="O18">
        <v>14.520135293135127</v>
      </c>
      <c r="P18" s="3">
        <v>36.254465615623324</v>
      </c>
      <c r="Q18" s="3">
        <v>1.3001450458808119</v>
      </c>
    </row>
    <row r="19" spans="1:23" x14ac:dyDescent="0.3">
      <c r="A19" s="13">
        <v>10044</v>
      </c>
      <c r="B19" s="15" t="s">
        <v>160</v>
      </c>
      <c r="C19" s="15" t="s">
        <v>158</v>
      </c>
      <c r="D19" s="24">
        <v>1</v>
      </c>
      <c r="E19" s="1" t="s">
        <v>162</v>
      </c>
      <c r="F19">
        <v>0.35609480630536144</v>
      </c>
      <c r="G19">
        <v>3.5941296149265578</v>
      </c>
      <c r="H19">
        <v>5.4037567305146084</v>
      </c>
      <c r="I19">
        <v>19.8473628147729</v>
      </c>
      <c r="J19">
        <v>9.1316524231647128E-2</v>
      </c>
      <c r="K19">
        <v>8.7550243415303957</v>
      </c>
      <c r="L19">
        <v>5.5020229136668126</v>
      </c>
      <c r="M19">
        <v>0.14368355604681918</v>
      </c>
      <c r="N19">
        <v>0.21684931699959123</v>
      </c>
      <c r="O19">
        <v>14.178119258393185</v>
      </c>
      <c r="P19" s="3">
        <v>36.807124894011636</v>
      </c>
      <c r="Q19" s="3">
        <v>1.3610185991211017</v>
      </c>
      <c r="S19" t="s">
        <v>525</v>
      </c>
      <c r="U19">
        <v>34</v>
      </c>
      <c r="W19">
        <f>U19+U20</f>
        <v>177</v>
      </c>
    </row>
    <row r="20" spans="1:23" x14ac:dyDescent="0.3">
      <c r="A20" s="13">
        <v>10058</v>
      </c>
      <c r="B20" s="15" t="s">
        <v>160</v>
      </c>
      <c r="C20" s="15" t="s">
        <v>158</v>
      </c>
      <c r="D20" s="24">
        <v>1</v>
      </c>
      <c r="E20" s="1" t="s">
        <v>162</v>
      </c>
      <c r="F20">
        <v>0.31158295551719128</v>
      </c>
      <c r="G20">
        <v>3.4976429138547038</v>
      </c>
      <c r="H20">
        <v>5.4725606849677817</v>
      </c>
      <c r="I20">
        <v>18.809653312917135</v>
      </c>
      <c r="J20">
        <v>4.9809013217262069E-2</v>
      </c>
      <c r="K20">
        <v>8.704995631007364</v>
      </c>
      <c r="L20">
        <v>6.3530983534714833</v>
      </c>
      <c r="M20">
        <v>0.15052563014428674</v>
      </c>
      <c r="N20">
        <v>0.2245939354638623</v>
      </c>
      <c r="O20">
        <v>15.23525972941373</v>
      </c>
      <c r="P20" s="3">
        <v>34.533125331080925</v>
      </c>
      <c r="Q20" s="3">
        <v>1.4072429515706695</v>
      </c>
      <c r="S20" t="s">
        <v>554</v>
      </c>
      <c r="U20">
        <v>143</v>
      </c>
    </row>
    <row r="21" spans="1:23" x14ac:dyDescent="0.3">
      <c r="A21" s="13">
        <v>10047</v>
      </c>
      <c r="B21" s="15" t="s">
        <v>160</v>
      </c>
      <c r="C21" s="15" t="s">
        <v>158</v>
      </c>
      <c r="D21" s="24">
        <v>1</v>
      </c>
      <c r="E21" s="1" t="s">
        <v>162</v>
      </c>
      <c r="F21">
        <v>0.32642023911324802</v>
      </c>
      <c r="G21">
        <v>3.6122208713775308</v>
      </c>
      <c r="H21">
        <v>5.435512401800688</v>
      </c>
      <c r="I21">
        <v>19.445367241981927</v>
      </c>
      <c r="J21">
        <v>8.3015022028770119E-2</v>
      </c>
      <c r="K21">
        <v>8.6907017137150699</v>
      </c>
      <c r="L21">
        <v>6.0054759907343644</v>
      </c>
      <c r="M21">
        <v>0.15052563014428674</v>
      </c>
      <c r="N21">
        <v>0.23233855392813343</v>
      </c>
      <c r="O21">
        <v>14.838832052781026</v>
      </c>
      <c r="P21" s="3">
        <v>35.869635123322297</v>
      </c>
      <c r="Q21" s="3">
        <v>1.4166987898413019</v>
      </c>
    </row>
    <row r="22" spans="1:23" x14ac:dyDescent="0.3">
      <c r="A22" s="13">
        <v>10085</v>
      </c>
      <c r="B22" s="15" t="s">
        <v>160</v>
      </c>
      <c r="C22" s="15" t="s">
        <v>158</v>
      </c>
      <c r="D22" s="24">
        <v>1</v>
      </c>
      <c r="E22" s="1" t="s">
        <v>162</v>
      </c>
      <c r="F22">
        <v>0.32642023911324802</v>
      </c>
      <c r="G22">
        <v>4.221293171893608</v>
      </c>
      <c r="H22">
        <v>5.9806514255450614</v>
      </c>
      <c r="I22">
        <v>19.197625784331677</v>
      </c>
      <c r="J22">
        <v>7.0562768724454605E-2</v>
      </c>
      <c r="K22">
        <v>8.933698307684077</v>
      </c>
      <c r="L22">
        <v>5.873619232454768</v>
      </c>
      <c r="M22">
        <v>0.15599928942226082</v>
      </c>
      <c r="N22">
        <v>0.21142808407460145</v>
      </c>
      <c r="O22">
        <v>14.380219642558878</v>
      </c>
      <c r="P22" s="3">
        <v>40.279944767134516</v>
      </c>
      <c r="Q22" s="3">
        <v>1.3354859195939253</v>
      </c>
    </row>
    <row r="23" spans="1:23" x14ac:dyDescent="0.3">
      <c r="A23" s="13">
        <v>10044</v>
      </c>
      <c r="B23" s="15" t="s">
        <v>160</v>
      </c>
      <c r="C23" s="15" t="s">
        <v>158</v>
      </c>
      <c r="D23" s="24">
        <v>1</v>
      </c>
      <c r="E23" s="1" t="s">
        <v>162</v>
      </c>
      <c r="F23">
        <v>0.27300440471772708</v>
      </c>
      <c r="G23">
        <v>4.1004366301703721</v>
      </c>
      <c r="H23">
        <v>4.6002958746948597</v>
      </c>
      <c r="I23">
        <v>19.628746259981387</v>
      </c>
      <c r="J23">
        <v>9.1000175426473512E-2</v>
      </c>
      <c r="K23">
        <v>8.4000301979987437</v>
      </c>
      <c r="L23">
        <v>5.8995058976140848</v>
      </c>
      <c r="M23">
        <v>0.15700405251046581</v>
      </c>
      <c r="N23">
        <v>0.23600138913336885</v>
      </c>
      <c r="O23">
        <v>15.899904302503231</v>
      </c>
      <c r="P23" s="3">
        <v>37.207583266004207</v>
      </c>
      <c r="Q23" s="3">
        <v>1.7402236702532294</v>
      </c>
      <c r="W23">
        <f>W6+W10+W15+W19</f>
        <v>1258</v>
      </c>
    </row>
    <row r="24" spans="1:23" x14ac:dyDescent="0.3">
      <c r="A24" s="13">
        <v>10047</v>
      </c>
      <c r="B24" s="15" t="s">
        <v>160</v>
      </c>
      <c r="C24" s="15" t="s">
        <v>158</v>
      </c>
      <c r="D24" s="24">
        <v>1</v>
      </c>
      <c r="E24" s="1" t="s">
        <v>162</v>
      </c>
      <c r="F24">
        <v>0.35609480630536144</v>
      </c>
      <c r="G24">
        <v>3.3227607681619689</v>
      </c>
      <c r="H24">
        <v>5.5784129225880479</v>
      </c>
      <c r="I24">
        <v>19.87073465040028</v>
      </c>
      <c r="J24">
        <v>1.6603004405754022E-2</v>
      </c>
      <c r="K24">
        <v>8.4477051197460629</v>
      </c>
      <c r="L24">
        <v>5.5200033807049405</v>
      </c>
      <c r="M24">
        <v>0.15736770424175434</v>
      </c>
      <c r="N24">
        <v>0.201360080071049</v>
      </c>
      <c r="O24">
        <v>15.009840070151995</v>
      </c>
      <c r="P24" s="3">
        <v>33.715194291660957</v>
      </c>
      <c r="Q24" s="3">
        <v>1.4427717660723822</v>
      </c>
    </row>
    <row r="25" spans="1:23" x14ac:dyDescent="0.3">
      <c r="A25" s="13">
        <v>10029</v>
      </c>
      <c r="B25" s="15" t="s">
        <v>160</v>
      </c>
      <c r="C25" s="15" t="s">
        <v>158</v>
      </c>
      <c r="D25" s="24">
        <v>1</v>
      </c>
      <c r="E25" s="1" t="s">
        <v>162</v>
      </c>
      <c r="F25">
        <v>0.31158295551719128</v>
      </c>
      <c r="G25">
        <v>3.8896201369591106</v>
      </c>
      <c r="H25">
        <v>5.4196345661576482</v>
      </c>
      <c r="I25">
        <v>18.038382737213524</v>
      </c>
      <c r="J25">
        <v>6.6412017623016087E-2</v>
      </c>
      <c r="K25">
        <v>7.3613674055316798</v>
      </c>
      <c r="L25">
        <v>6.6527728041069309</v>
      </c>
      <c r="M25">
        <v>0.15736770424175434</v>
      </c>
      <c r="N25">
        <v>0.23233855392813343</v>
      </c>
      <c r="O25">
        <v>16.875382077835312</v>
      </c>
      <c r="P25" s="3">
        <v>34.623132249791617</v>
      </c>
      <c r="Q25" s="3">
        <v>1.4844130280063392</v>
      </c>
    </row>
    <row r="26" spans="1:23" x14ac:dyDescent="0.3">
      <c r="A26" s="13">
        <v>10003</v>
      </c>
      <c r="B26" s="15" t="s">
        <v>160</v>
      </c>
      <c r="C26" s="15" t="s">
        <v>158</v>
      </c>
      <c r="D26" s="24">
        <v>1</v>
      </c>
      <c r="E26" s="1" t="s">
        <v>162</v>
      </c>
      <c r="F26">
        <v>0.28932703012310618</v>
      </c>
      <c r="G26">
        <v>4.2815973600635164</v>
      </c>
      <c r="H26">
        <v>5.5254868037779143</v>
      </c>
      <c r="I26">
        <v>18.477773247008308</v>
      </c>
      <c r="J26">
        <v>4.9809013217262069E-2</v>
      </c>
      <c r="K26">
        <v>7.7187153378390425</v>
      </c>
      <c r="L26">
        <v>6.3950527765604459</v>
      </c>
      <c r="M26">
        <v>0.15736770424175434</v>
      </c>
      <c r="N26">
        <v>0.2245939354638623</v>
      </c>
      <c r="O26">
        <v>15.942611073993653</v>
      </c>
      <c r="P26" s="3">
        <v>38.159791198720356</v>
      </c>
      <c r="Q26" s="3">
        <v>1.4563901509399182</v>
      </c>
    </row>
    <row r="27" spans="1:23" x14ac:dyDescent="0.3">
      <c r="A27" s="13">
        <v>10003</v>
      </c>
      <c r="B27" s="15" t="s">
        <v>160</v>
      </c>
      <c r="C27" s="15" t="s">
        <v>158</v>
      </c>
      <c r="D27" s="24">
        <v>1</v>
      </c>
      <c r="E27" s="1" t="s">
        <v>162</v>
      </c>
      <c r="F27">
        <v>0.31158295551719128</v>
      </c>
      <c r="G27">
        <v>4.5831183009130605</v>
      </c>
      <c r="H27">
        <v>5.4143419542766349</v>
      </c>
      <c r="I27">
        <v>18.557237488141407</v>
      </c>
      <c r="J27">
        <v>2.4904506608631034E-2</v>
      </c>
      <c r="K27">
        <v>7.9045362626388709</v>
      </c>
      <c r="L27">
        <v>6.2691895072935591</v>
      </c>
      <c r="M27">
        <v>0.15736770424175434</v>
      </c>
      <c r="N27">
        <v>0.201360080071049</v>
      </c>
      <c r="O27">
        <v>15.483998663771507</v>
      </c>
      <c r="P27" s="3">
        <v>40.479391462222956</v>
      </c>
      <c r="Q27" s="3">
        <v>1.4858425069782428</v>
      </c>
    </row>
    <row r="28" spans="1:23" x14ac:dyDescent="0.3">
      <c r="A28" s="13">
        <v>10044</v>
      </c>
      <c r="B28" s="15" t="s">
        <v>160</v>
      </c>
      <c r="C28" s="15" t="s">
        <v>158</v>
      </c>
      <c r="D28" s="24">
        <v>1</v>
      </c>
      <c r="E28" s="1" t="s">
        <v>162</v>
      </c>
      <c r="F28">
        <v>0.37093208990141818</v>
      </c>
      <c r="G28">
        <v>3.588099196109567</v>
      </c>
      <c r="H28">
        <v>5.477853296848795</v>
      </c>
      <c r="I28">
        <v>19.730503636635987</v>
      </c>
      <c r="J28">
        <v>2.4904506608631034E-2</v>
      </c>
      <c r="K28">
        <v>8.6335260445458921</v>
      </c>
      <c r="L28">
        <v>6.1433262380266704</v>
      </c>
      <c r="M28">
        <v>0.1642097783392219</v>
      </c>
      <c r="N28">
        <v>0.2091046985353201</v>
      </c>
      <c r="O28">
        <v>13.898287957240687</v>
      </c>
      <c r="P28" s="3">
        <v>37.232738834902641</v>
      </c>
      <c r="Q28" s="3">
        <v>1.5317539979282988</v>
      </c>
    </row>
    <row r="29" spans="1:23" x14ac:dyDescent="0.3">
      <c r="A29" s="13">
        <v>10044</v>
      </c>
      <c r="B29" s="15" t="s">
        <v>160</v>
      </c>
      <c r="C29" s="15" t="s">
        <v>158</v>
      </c>
      <c r="D29" s="24">
        <v>1</v>
      </c>
      <c r="E29" s="1" t="s">
        <v>162</v>
      </c>
      <c r="F29">
        <v>0.35609480630536144</v>
      </c>
      <c r="G29">
        <v>3.7690117606192932</v>
      </c>
      <c r="H29">
        <v>6.1764780651425539</v>
      </c>
      <c r="I29">
        <v>19.637016294126457</v>
      </c>
      <c r="J29">
        <v>9.1316524231647128E-2</v>
      </c>
      <c r="K29">
        <v>8.704995631007364</v>
      </c>
      <c r="L29">
        <v>5.2802638201965824</v>
      </c>
      <c r="M29">
        <v>0.17000438806865681</v>
      </c>
      <c r="N29">
        <v>0.18587084314250674</v>
      </c>
      <c r="O29">
        <v>13.976018874227494</v>
      </c>
      <c r="P29" s="3">
        <v>38.257516723397671</v>
      </c>
      <c r="Q29" s="3">
        <v>1.4081996369054082</v>
      </c>
    </row>
    <row r="30" spans="1:23" x14ac:dyDescent="0.3">
      <c r="A30" s="13">
        <v>10062</v>
      </c>
      <c r="B30" s="15" t="s">
        <v>160</v>
      </c>
      <c r="C30" s="15" t="s">
        <v>158</v>
      </c>
      <c r="D30" s="24">
        <v>1</v>
      </c>
      <c r="E30" s="1" t="s">
        <v>162</v>
      </c>
      <c r="F30">
        <v>0.31900159731521965</v>
      </c>
      <c r="G30">
        <v>4.2273235907105988</v>
      </c>
      <c r="H30">
        <v>5.7266060552564211</v>
      </c>
      <c r="I30">
        <v>18.795630211540704</v>
      </c>
      <c r="J30">
        <v>6.6412017623016087E-2</v>
      </c>
      <c r="K30">
        <v>8.2690311535923815</v>
      </c>
      <c r="L30">
        <v>6.1972676391410513</v>
      </c>
      <c r="M30">
        <v>0.17789392653415709</v>
      </c>
      <c r="N30">
        <v>0.21684931699959123</v>
      </c>
      <c r="O30">
        <v>14.831058961082343</v>
      </c>
      <c r="P30" s="3">
        <v>39.573774167690765</v>
      </c>
      <c r="Q30" s="3">
        <v>1.5864375070420607</v>
      </c>
    </row>
    <row r="31" spans="1:23" x14ac:dyDescent="0.3">
      <c r="A31" s="13">
        <v>10060</v>
      </c>
      <c r="B31" s="15" t="s">
        <v>160</v>
      </c>
      <c r="C31" s="15" t="s">
        <v>158</v>
      </c>
      <c r="D31" s="24">
        <v>1</v>
      </c>
      <c r="E31" s="1" t="s">
        <v>162</v>
      </c>
      <c r="F31">
        <v>0.36000580841898089</v>
      </c>
      <c r="G31">
        <v>4.6004898777521293</v>
      </c>
      <c r="H31">
        <v>6.2003987876321798</v>
      </c>
      <c r="I31">
        <v>19.802536832595273</v>
      </c>
      <c r="J31">
        <v>0.13300025639253846</v>
      </c>
      <c r="K31">
        <v>8.3000298384987143</v>
      </c>
      <c r="L31">
        <v>4.5996147676313228</v>
      </c>
      <c r="M31">
        <v>0.18200469781468015</v>
      </c>
      <c r="N31">
        <v>0.13400078874521745</v>
      </c>
      <c r="O31">
        <v>13.799916941795248</v>
      </c>
      <c r="P31" s="3">
        <v>43.374151921749458</v>
      </c>
      <c r="Q31" s="3">
        <v>1.5003815883801661</v>
      </c>
    </row>
    <row r="32" spans="1:23" x14ac:dyDescent="0.3">
      <c r="A32" s="13">
        <v>10029</v>
      </c>
      <c r="B32" s="15" t="s">
        <v>160</v>
      </c>
      <c r="C32" s="15" t="s">
        <v>158</v>
      </c>
      <c r="D32" s="24">
        <v>1</v>
      </c>
      <c r="E32" s="1" t="s">
        <v>162</v>
      </c>
      <c r="F32">
        <v>0.28932703012310618</v>
      </c>
      <c r="G32">
        <v>4.5409053691941246</v>
      </c>
      <c r="H32">
        <v>5.4619754612057552</v>
      </c>
      <c r="I32">
        <v>17.711177038430172</v>
      </c>
      <c r="J32">
        <v>2.4904506608631034E-2</v>
      </c>
      <c r="K32">
        <v>7.4828657025161833</v>
      </c>
      <c r="L32">
        <v>7.2820891504413705</v>
      </c>
      <c r="M32">
        <v>0.18473600063162465</v>
      </c>
      <c r="N32">
        <v>0.17812622467823563</v>
      </c>
      <c r="O32">
        <v>15.927064890596291</v>
      </c>
      <c r="P32" s="3">
        <v>39.580016679369201</v>
      </c>
      <c r="Q32" s="3">
        <v>1.7248436685443265</v>
      </c>
    </row>
    <row r="33" spans="1:17" x14ac:dyDescent="0.3">
      <c r="A33" s="13">
        <v>10018</v>
      </c>
      <c r="B33" s="15" t="s">
        <v>160</v>
      </c>
      <c r="C33" s="15" t="s">
        <v>158</v>
      </c>
      <c r="D33" s="24">
        <v>1</v>
      </c>
      <c r="E33" s="1" t="s">
        <v>162</v>
      </c>
      <c r="F33">
        <v>0.39200632472288982</v>
      </c>
      <c r="G33">
        <v>5.0005324758175327</v>
      </c>
      <c r="H33">
        <v>6.1003923555735931</v>
      </c>
      <c r="I33">
        <v>19.602511208023568</v>
      </c>
      <c r="J33">
        <v>0.13200025446477476</v>
      </c>
      <c r="K33">
        <v>8.3000298384987143</v>
      </c>
      <c r="L33">
        <v>5.4995393960809258</v>
      </c>
      <c r="M33">
        <v>0.19000490431202854</v>
      </c>
      <c r="N33">
        <v>0.1050006180466258</v>
      </c>
      <c r="O33">
        <v>13.799916941795248</v>
      </c>
      <c r="P33" s="3">
        <v>45.432264319515717</v>
      </c>
      <c r="Q33" s="3">
        <v>1.5905526099843321</v>
      </c>
    </row>
    <row r="34" spans="1:17" x14ac:dyDescent="0.3">
      <c r="A34" s="13">
        <v>10020</v>
      </c>
      <c r="B34" s="15" t="s">
        <v>160</v>
      </c>
      <c r="C34" s="15" t="s">
        <v>158</v>
      </c>
      <c r="D34" s="24">
        <v>1</v>
      </c>
      <c r="E34" s="1" t="s">
        <v>162</v>
      </c>
      <c r="F34">
        <v>0.28190838832507781</v>
      </c>
      <c r="G34">
        <v>4.221293171893608</v>
      </c>
      <c r="H34">
        <v>5.4566828493247419</v>
      </c>
      <c r="I34">
        <v>19.071417871943812</v>
      </c>
      <c r="J34">
        <v>5.8110515420139085E-2</v>
      </c>
      <c r="K34">
        <v>8.5692034167305664</v>
      </c>
      <c r="L34">
        <v>6.20326112815376</v>
      </c>
      <c r="M34">
        <v>0.20526222292402738</v>
      </c>
      <c r="N34">
        <v>0.2091046985353201</v>
      </c>
      <c r="O34">
        <v>14.605639301820611</v>
      </c>
      <c r="P34" s="3">
        <v>39.90636048863081</v>
      </c>
      <c r="Q34" s="3">
        <v>1.9146468351560635</v>
      </c>
    </row>
    <row r="35" spans="1:17" x14ac:dyDescent="0.3">
      <c r="A35" s="13">
        <v>10002</v>
      </c>
      <c r="B35" s="15" t="s">
        <v>160</v>
      </c>
      <c r="C35" s="15" t="s">
        <v>158</v>
      </c>
      <c r="D35" s="24">
        <v>1</v>
      </c>
      <c r="E35" s="1" t="s">
        <v>162</v>
      </c>
      <c r="F35">
        <v>0.27448974652704944</v>
      </c>
      <c r="G35">
        <v>4.8243350535926952</v>
      </c>
      <c r="H35">
        <v>6.2452820195957273</v>
      </c>
      <c r="I35">
        <v>19.258392556962871</v>
      </c>
      <c r="J35">
        <v>7.4713519825893096E-2</v>
      </c>
      <c r="K35">
        <v>8.2190024430693498</v>
      </c>
      <c r="L35">
        <v>5.1544005509296937</v>
      </c>
      <c r="M35">
        <v>0.20526222292402738</v>
      </c>
      <c r="N35">
        <v>0.19284099976035077</v>
      </c>
      <c r="O35">
        <v>14.768874227492901</v>
      </c>
      <c r="P35" s="3">
        <v>42.875046250432668</v>
      </c>
      <c r="Q35" s="3">
        <v>1.6769363482585671</v>
      </c>
    </row>
    <row r="36" spans="1:17" x14ac:dyDescent="0.3">
      <c r="A36" s="13">
        <v>10062</v>
      </c>
      <c r="B36" s="15" t="s">
        <v>160</v>
      </c>
      <c r="C36" s="15" t="s">
        <v>158</v>
      </c>
      <c r="D36" s="24">
        <v>1</v>
      </c>
      <c r="E36" s="1" t="s">
        <v>162</v>
      </c>
      <c r="F36">
        <v>0.37093208990141818</v>
      </c>
      <c r="G36">
        <v>4.1067152143707819</v>
      </c>
      <c r="H36">
        <v>5.9330179186159411</v>
      </c>
      <c r="I36">
        <v>18.804978945791653</v>
      </c>
      <c r="J36">
        <v>4.9809013217262069E-2</v>
      </c>
      <c r="K36">
        <v>8.5120277475613886</v>
      </c>
      <c r="L36">
        <v>6.3351178864333573</v>
      </c>
      <c r="M36">
        <v>0.21210429702149497</v>
      </c>
      <c r="N36">
        <v>0.17812622467823563</v>
      </c>
      <c r="O36">
        <v>14.022657424419576</v>
      </c>
      <c r="P36" s="3">
        <v>40.22369699043476</v>
      </c>
      <c r="Q36" s="3">
        <v>1.8213568178855815</v>
      </c>
    </row>
    <row r="37" spans="1:17" x14ac:dyDescent="0.3">
      <c r="A37" s="13">
        <v>10020</v>
      </c>
      <c r="B37" s="15" t="s">
        <v>160</v>
      </c>
      <c r="C37" s="15" t="s">
        <v>158</v>
      </c>
      <c r="D37" s="24">
        <v>1</v>
      </c>
      <c r="E37" s="1" t="s">
        <v>162</v>
      </c>
      <c r="F37">
        <v>0.43769986608367345</v>
      </c>
      <c r="G37">
        <v>4.8243350535926952</v>
      </c>
      <c r="H37">
        <v>5.8218730691146607</v>
      </c>
      <c r="I37">
        <v>17.762595076810413</v>
      </c>
      <c r="J37">
        <v>5.3129614098412874E-2</v>
      </c>
      <c r="K37">
        <v>7.1469586461472616</v>
      </c>
      <c r="L37">
        <v>7.1921868152507358</v>
      </c>
      <c r="M37">
        <v>0.21210429702149497</v>
      </c>
      <c r="N37">
        <v>0.24782779085667567</v>
      </c>
      <c r="O37">
        <v>13.991565057624854</v>
      </c>
      <c r="P37" s="3">
        <v>44.204075605434141</v>
      </c>
      <c r="Q37" s="3">
        <v>1.8554829986923704</v>
      </c>
    </row>
    <row r="38" spans="1:17" x14ac:dyDescent="0.3">
      <c r="A38" s="13">
        <v>10059</v>
      </c>
      <c r="B38" s="15" t="s">
        <v>160</v>
      </c>
      <c r="C38" s="15" t="s">
        <v>158</v>
      </c>
      <c r="D38" s="24">
        <v>1</v>
      </c>
      <c r="E38" s="1" t="s">
        <v>162</v>
      </c>
      <c r="F38">
        <v>0.37835073169944655</v>
      </c>
      <c r="G38">
        <v>4.8846392417626037</v>
      </c>
      <c r="H38">
        <v>6.6422279106717275</v>
      </c>
      <c r="I38">
        <v>19.819316612020039</v>
      </c>
      <c r="J38">
        <v>0.15772854185466323</v>
      </c>
      <c r="K38">
        <v>8.2190024430693498</v>
      </c>
      <c r="L38">
        <v>4.9745958805484261</v>
      </c>
      <c r="M38">
        <v>0.21894637111896256</v>
      </c>
      <c r="N38">
        <v>0.17038160621396453</v>
      </c>
      <c r="O38">
        <v>12.747870385835977</v>
      </c>
      <c r="P38" s="3">
        <v>46.8200257136007</v>
      </c>
      <c r="Q38" s="3">
        <v>1.6817533677970016</v>
      </c>
    </row>
    <row r="39" spans="1:17" x14ac:dyDescent="0.3">
      <c r="A39" s="13">
        <v>10017</v>
      </c>
      <c r="B39" s="15" t="s">
        <v>160</v>
      </c>
      <c r="C39" s="15" t="s">
        <v>158</v>
      </c>
      <c r="D39" s="24">
        <v>1</v>
      </c>
      <c r="E39" s="1" t="s">
        <v>162</v>
      </c>
      <c r="F39">
        <v>0.37835073169944655</v>
      </c>
      <c r="G39">
        <v>4.6675441643509323</v>
      </c>
      <c r="H39">
        <v>4.1917486097625556</v>
      </c>
      <c r="I39">
        <v>19.057394770567385</v>
      </c>
      <c r="J39">
        <v>0.24074356388343332</v>
      </c>
      <c r="K39">
        <v>7.5614822476238022</v>
      </c>
      <c r="L39">
        <v>7.084304013021975</v>
      </c>
      <c r="M39">
        <v>0.22578844521643016</v>
      </c>
      <c r="N39">
        <v>0.17038160621396453</v>
      </c>
      <c r="O39">
        <v>15.460679388675464</v>
      </c>
      <c r="P39" s="3">
        <v>40.956376897748918</v>
      </c>
      <c r="Q39" s="3">
        <v>2.7191797097205459</v>
      </c>
    </row>
    <row r="40" spans="1:17" x14ac:dyDescent="0.3">
      <c r="A40" s="13">
        <v>10059</v>
      </c>
      <c r="B40" s="15" t="s">
        <v>160</v>
      </c>
      <c r="C40" s="15" t="s">
        <v>158</v>
      </c>
      <c r="D40" s="24">
        <v>1</v>
      </c>
      <c r="E40" s="1" t="s">
        <v>162</v>
      </c>
      <c r="F40">
        <v>0.33600542119104876</v>
      </c>
      <c r="G40">
        <v>4.4004685787194298</v>
      </c>
      <c r="H40">
        <v>6.8004373799836957</v>
      </c>
      <c r="I40">
        <v>19.402485583451913</v>
      </c>
      <c r="J40">
        <v>0.12300023711490368</v>
      </c>
      <c r="K40">
        <v>8.8000316359986428</v>
      </c>
      <c r="L40">
        <v>4.8995896437811908</v>
      </c>
      <c r="M40">
        <v>0.22600583355009707</v>
      </c>
      <c r="N40">
        <v>0.16500097121612661</v>
      </c>
      <c r="O40">
        <v>14.099915136182071</v>
      </c>
      <c r="P40" s="3">
        <v>41.761790465581505</v>
      </c>
      <c r="Q40" s="3">
        <v>1.6953565112999187</v>
      </c>
    </row>
    <row r="41" spans="1:17" x14ac:dyDescent="0.3">
      <c r="A41" s="13">
        <v>10017</v>
      </c>
      <c r="B41" s="15" t="s">
        <v>160</v>
      </c>
      <c r="C41" s="15" t="s">
        <v>158</v>
      </c>
      <c r="D41" s="24">
        <v>1</v>
      </c>
      <c r="E41" s="1" t="s">
        <v>162</v>
      </c>
      <c r="F41">
        <v>0.34719243614772743</v>
      </c>
      <c r="G41">
        <v>4.8002133783247318</v>
      </c>
      <c r="H41">
        <v>4.3981604731220765</v>
      </c>
      <c r="I41">
        <v>19.604295724248125</v>
      </c>
      <c r="J41">
        <v>0.20587725463134987</v>
      </c>
      <c r="K41">
        <v>8.1975615671309097</v>
      </c>
      <c r="L41">
        <v>7.0003951668440498</v>
      </c>
      <c r="M41">
        <v>0.23100596261093964</v>
      </c>
      <c r="N41">
        <v>0.14800087115143482</v>
      </c>
      <c r="O41">
        <v>14.597866210121932</v>
      </c>
      <c r="P41" s="3">
        <v>43.037603849573031</v>
      </c>
      <c r="Q41" s="3">
        <v>2.6532476535732039</v>
      </c>
    </row>
    <row r="42" spans="1:17" x14ac:dyDescent="0.3">
      <c r="A42" s="13">
        <v>10049</v>
      </c>
      <c r="B42" s="15" t="s">
        <v>160</v>
      </c>
      <c r="C42" s="15" t="s">
        <v>158</v>
      </c>
      <c r="D42" s="24">
        <v>1</v>
      </c>
      <c r="E42" s="1" t="s">
        <v>162</v>
      </c>
      <c r="F42">
        <v>0.34867616450733308</v>
      </c>
      <c r="G42">
        <v>4.5469357880111154</v>
      </c>
      <c r="H42">
        <v>4.2076264454055963</v>
      </c>
      <c r="I42">
        <v>19.426669773480022</v>
      </c>
      <c r="J42">
        <v>0.25734656828918734</v>
      </c>
      <c r="K42">
        <v>7.8116258002389563</v>
      </c>
      <c r="L42">
        <v>6.8985058536279977</v>
      </c>
      <c r="M42">
        <v>0.23263051931389772</v>
      </c>
      <c r="N42">
        <v>0.18587084314250674</v>
      </c>
      <c r="O42">
        <v>14.932109153165191</v>
      </c>
      <c r="P42" s="3">
        <v>41.164663895929884</v>
      </c>
      <c r="Q42" s="3">
        <v>2.7890038296615547</v>
      </c>
    </row>
    <row r="43" spans="1:17" x14ac:dyDescent="0.3">
      <c r="A43" s="13">
        <v>10050</v>
      </c>
      <c r="B43" s="15" t="s">
        <v>160</v>
      </c>
      <c r="C43" s="15" t="s">
        <v>158</v>
      </c>
      <c r="D43" s="24">
        <v>1</v>
      </c>
      <c r="E43" s="1" t="s">
        <v>162</v>
      </c>
      <c r="F43">
        <v>0.26707110472902107</v>
      </c>
      <c r="G43">
        <v>4.7640308654227868</v>
      </c>
      <c r="H43">
        <v>5.5519498631829816</v>
      </c>
      <c r="I43">
        <v>18.72084033753308</v>
      </c>
      <c r="J43">
        <v>3.3206008811508043E-2</v>
      </c>
      <c r="K43">
        <v>8.3405007400538533</v>
      </c>
      <c r="L43">
        <v>6.6647597821323483</v>
      </c>
      <c r="M43">
        <v>0.23263051931389772</v>
      </c>
      <c r="N43">
        <v>0.21684931699959123</v>
      </c>
      <c r="O43">
        <v>13.859422498747284</v>
      </c>
      <c r="P43" s="3">
        <v>44.127890736215285</v>
      </c>
      <c r="Q43" s="3">
        <v>2.1280584931652791</v>
      </c>
    </row>
    <row r="44" spans="1:17" x14ac:dyDescent="0.3">
      <c r="A44" s="13">
        <v>10057</v>
      </c>
      <c r="B44" s="15" t="s">
        <v>160</v>
      </c>
      <c r="C44" s="15" t="s">
        <v>158</v>
      </c>
      <c r="D44" s="24">
        <v>1</v>
      </c>
      <c r="E44" s="1" t="s">
        <v>162</v>
      </c>
      <c r="F44">
        <v>0.42286258248761671</v>
      </c>
      <c r="G44">
        <v>4.6132703949980147</v>
      </c>
      <c r="H44">
        <v>4.2287968929296493</v>
      </c>
      <c r="I44">
        <v>19.010651099312621</v>
      </c>
      <c r="J44">
        <v>0.2382531132225702</v>
      </c>
      <c r="K44">
        <v>7.6829805446083057</v>
      </c>
      <c r="L44">
        <v>6.8026100294246543</v>
      </c>
      <c r="M44">
        <v>0.23741997118212499</v>
      </c>
      <c r="N44">
        <v>0.18044961021751699</v>
      </c>
      <c r="O44">
        <v>15.07979789544012</v>
      </c>
      <c r="P44" s="3">
        <v>41.277121018469181</v>
      </c>
      <c r="Q44" s="3">
        <v>2.8309524189535802</v>
      </c>
    </row>
    <row r="45" spans="1:17" x14ac:dyDescent="0.3">
      <c r="A45" s="13">
        <v>10072</v>
      </c>
      <c r="B45" s="15" t="s">
        <v>160</v>
      </c>
      <c r="C45" s="15" t="s">
        <v>158</v>
      </c>
      <c r="D45" s="24">
        <v>1</v>
      </c>
      <c r="E45" s="1" t="s">
        <v>162</v>
      </c>
      <c r="F45">
        <v>0.40060665709353166</v>
      </c>
      <c r="G45">
        <v>4.6313616514489873</v>
      </c>
      <c r="H45">
        <v>4.509305322623355</v>
      </c>
      <c r="I45">
        <v>18.94520995955595</v>
      </c>
      <c r="J45">
        <v>0.22414055947767933</v>
      </c>
      <c r="K45">
        <v>7.4471309092854465</v>
      </c>
      <c r="L45">
        <v>7.0363561009203037</v>
      </c>
      <c r="M45">
        <v>0.23947259341136529</v>
      </c>
      <c r="N45">
        <v>0.18587084314250674</v>
      </c>
      <c r="O45">
        <v>15.359629196592618</v>
      </c>
      <c r="P45" s="3">
        <v>40.926763363547551</v>
      </c>
      <c r="Q45" s="3">
        <v>2.6819085294789442</v>
      </c>
    </row>
    <row r="46" spans="1:17" x14ac:dyDescent="0.3">
      <c r="A46" s="13">
        <v>10050</v>
      </c>
      <c r="B46" s="15" t="s">
        <v>160</v>
      </c>
      <c r="C46" s="15" t="s">
        <v>158</v>
      </c>
      <c r="D46" s="24">
        <v>1</v>
      </c>
      <c r="E46" s="1" t="s">
        <v>162</v>
      </c>
      <c r="F46">
        <v>0.26707110472902107</v>
      </c>
      <c r="G46">
        <v>4.7399091901548234</v>
      </c>
      <c r="H46">
        <v>5.1020778532968487</v>
      </c>
      <c r="I46">
        <v>18.346890967494968</v>
      </c>
      <c r="J46">
        <v>6.6412017623016087E-2</v>
      </c>
      <c r="K46">
        <v>8.0617693528541103</v>
      </c>
      <c r="L46">
        <v>7.066323545983848</v>
      </c>
      <c r="M46">
        <v>0.23947259341136529</v>
      </c>
      <c r="N46">
        <v>0.23233855392813343</v>
      </c>
      <c r="O46">
        <v>14.994293886754635</v>
      </c>
      <c r="P46" s="3">
        <v>42.073574050149084</v>
      </c>
      <c r="Q46" s="3">
        <v>2.3777262788700164</v>
      </c>
    </row>
    <row r="47" spans="1:17" x14ac:dyDescent="0.3">
      <c r="A47" s="13">
        <v>10017</v>
      </c>
      <c r="B47" s="15" t="s">
        <v>160</v>
      </c>
      <c r="C47" s="15" t="s">
        <v>158</v>
      </c>
      <c r="D47" s="24">
        <v>1</v>
      </c>
      <c r="E47" s="1" t="s">
        <v>162</v>
      </c>
      <c r="F47">
        <v>0.36351344810338981</v>
      </c>
      <c r="G47">
        <v>4.9208217546645496</v>
      </c>
      <c r="H47">
        <v>4.1547003265954627</v>
      </c>
      <c r="I47">
        <v>18.991953630810716</v>
      </c>
      <c r="J47">
        <v>0.25734656828918734</v>
      </c>
      <c r="K47">
        <v>7.5757761649160962</v>
      </c>
      <c r="L47">
        <v>7.3000696174794975</v>
      </c>
      <c r="M47">
        <v>0.23947259341136529</v>
      </c>
      <c r="N47">
        <v>0.17812622467823563</v>
      </c>
      <c r="O47">
        <v>14.846605144479707</v>
      </c>
      <c r="P47" s="3">
        <v>43.231853753492189</v>
      </c>
      <c r="Q47" s="3">
        <v>2.9041625976562497</v>
      </c>
    </row>
    <row r="48" spans="1:17" x14ac:dyDescent="0.3">
      <c r="A48" s="13">
        <v>10071</v>
      </c>
      <c r="B48" s="15" t="s">
        <v>160</v>
      </c>
      <c r="C48" s="15" t="s">
        <v>158</v>
      </c>
      <c r="D48" s="24">
        <v>1</v>
      </c>
      <c r="E48" s="1" t="s">
        <v>162</v>
      </c>
      <c r="F48">
        <v>0.39318801529550329</v>
      </c>
      <c r="G48">
        <v>5.1318864132592292</v>
      </c>
      <c r="H48">
        <v>4.1864559978815423</v>
      </c>
      <c r="I48">
        <v>18.935861225304997</v>
      </c>
      <c r="J48">
        <v>0.24904506608631033</v>
      </c>
      <c r="K48">
        <v>7.4900126611623303</v>
      </c>
      <c r="L48">
        <v>7.1142714580855193</v>
      </c>
      <c r="M48">
        <v>0.23947259341136529</v>
      </c>
      <c r="N48">
        <v>0.19361546160677787</v>
      </c>
      <c r="O48">
        <v>15.274125187907131</v>
      </c>
      <c r="P48" s="3">
        <v>43.566141874147107</v>
      </c>
      <c r="Q48" s="3">
        <v>2.8827685978312609</v>
      </c>
    </row>
    <row r="49" spans="1:17" x14ac:dyDescent="0.3">
      <c r="A49" s="13">
        <v>10057</v>
      </c>
      <c r="B49" s="15" t="s">
        <v>160</v>
      </c>
      <c r="C49" s="15" t="s">
        <v>158</v>
      </c>
      <c r="D49" s="24">
        <v>1</v>
      </c>
      <c r="E49" s="1" t="s">
        <v>162</v>
      </c>
      <c r="F49">
        <v>0.40060665709353166</v>
      </c>
      <c r="G49">
        <v>4.6132703949980147</v>
      </c>
      <c r="H49">
        <v>5.7371912790184476</v>
      </c>
      <c r="I49">
        <v>18.599306792270692</v>
      </c>
      <c r="J49">
        <v>0.26564807049206435</v>
      </c>
      <c r="K49">
        <v>7.2041343153164394</v>
      </c>
      <c r="L49">
        <v>6.8565514305390352</v>
      </c>
      <c r="M49">
        <v>0.24000619492045713</v>
      </c>
      <c r="N49">
        <v>0.1548923692854223</v>
      </c>
      <c r="O49">
        <v>15.040932436946719</v>
      </c>
      <c r="P49" s="3">
        <v>41.339687654429632</v>
      </c>
      <c r="Q49" s="3">
        <v>2.1247134710065159</v>
      </c>
    </row>
    <row r="50" spans="1:17" x14ac:dyDescent="0.3">
      <c r="A50" s="13">
        <v>10017</v>
      </c>
      <c r="B50" s="15" t="s">
        <v>160</v>
      </c>
      <c r="C50" s="15" t="s">
        <v>158</v>
      </c>
      <c r="D50" s="24">
        <v>1</v>
      </c>
      <c r="E50" s="1" t="s">
        <v>162</v>
      </c>
      <c r="F50">
        <v>0.37835073169944655</v>
      </c>
      <c r="G50">
        <v>4.6132703949980147</v>
      </c>
      <c r="H50">
        <v>4.2976008473828218</v>
      </c>
      <c r="I50">
        <v>19.062069137692859</v>
      </c>
      <c r="J50">
        <v>0.24904506608631033</v>
      </c>
      <c r="K50">
        <v>7.5400413716853611</v>
      </c>
      <c r="L50">
        <v>7.0183756338821777</v>
      </c>
      <c r="M50">
        <v>0.24631466750883285</v>
      </c>
      <c r="N50">
        <v>0.17038160621396453</v>
      </c>
      <c r="O50">
        <v>15.4062677467847</v>
      </c>
      <c r="P50" s="3">
        <v>40.758944382121847</v>
      </c>
      <c r="Q50" s="3">
        <v>2.8882848658681124</v>
      </c>
    </row>
    <row r="51" spans="1:17" x14ac:dyDescent="0.3">
      <c r="A51" s="13">
        <v>10050</v>
      </c>
      <c r="B51" s="15" t="s">
        <v>160</v>
      </c>
      <c r="C51" s="15" t="s">
        <v>158</v>
      </c>
      <c r="D51" s="24">
        <v>1</v>
      </c>
      <c r="E51" s="1" t="s">
        <v>162</v>
      </c>
      <c r="F51">
        <v>0.2596524629309927</v>
      </c>
      <c r="G51">
        <v>4.71578751488686</v>
      </c>
      <c r="H51">
        <v>5.7530691146614874</v>
      </c>
      <c r="I51">
        <v>18.987279263685235</v>
      </c>
      <c r="J51">
        <v>4.9809013217262069E-2</v>
      </c>
      <c r="K51">
        <v>9.0409026873762848</v>
      </c>
      <c r="L51">
        <v>5.7597429412132977</v>
      </c>
      <c r="M51">
        <v>0.24631466750883285</v>
      </c>
      <c r="N51">
        <v>0.201360080071049</v>
      </c>
      <c r="O51">
        <v>12.833374394521464</v>
      </c>
      <c r="P51" s="3">
        <v>45.779186048110979</v>
      </c>
      <c r="Q51" s="3">
        <v>2.1734596414022165</v>
      </c>
    </row>
    <row r="52" spans="1:17" x14ac:dyDescent="0.3">
      <c r="A52" s="13">
        <v>10057</v>
      </c>
      <c r="B52" s="15" t="s">
        <v>160</v>
      </c>
      <c r="C52" s="15" t="s">
        <v>158</v>
      </c>
      <c r="D52" s="24">
        <v>1</v>
      </c>
      <c r="E52" s="1" t="s">
        <v>162</v>
      </c>
      <c r="F52">
        <v>0.35609480630536144</v>
      </c>
      <c r="G52">
        <v>4.7821221218737593</v>
      </c>
      <c r="H52">
        <v>4.3293565186689023</v>
      </c>
      <c r="I52">
        <v>18.856396984171898</v>
      </c>
      <c r="J52">
        <v>0.19093455066617127</v>
      </c>
      <c r="K52">
        <v>7.5328944130392124</v>
      </c>
      <c r="L52">
        <v>7.4439133537845121</v>
      </c>
      <c r="M52">
        <v>0.24631466750883285</v>
      </c>
      <c r="N52">
        <v>0.17038160621396453</v>
      </c>
      <c r="O52">
        <v>14.955428428261232</v>
      </c>
      <c r="P52" s="3">
        <v>42.353169024020929</v>
      </c>
      <c r="Q52" s="3">
        <v>2.8677069393130328</v>
      </c>
    </row>
    <row r="53" spans="1:17" x14ac:dyDescent="0.3">
      <c r="A53" s="13">
        <v>10072</v>
      </c>
      <c r="B53" s="15" t="s">
        <v>160</v>
      </c>
      <c r="C53" s="15" t="s">
        <v>158</v>
      </c>
      <c r="D53" s="24">
        <v>1</v>
      </c>
      <c r="E53" s="1" t="s">
        <v>162</v>
      </c>
      <c r="F53">
        <v>0.38576937349747492</v>
      </c>
      <c r="G53">
        <v>4.8605175664946403</v>
      </c>
      <c r="H53">
        <v>4.1176520434283699</v>
      </c>
      <c r="I53">
        <v>18.79095584441523</v>
      </c>
      <c r="J53">
        <v>0.24074356388343332</v>
      </c>
      <c r="K53">
        <v>7.339926529593237</v>
      </c>
      <c r="L53">
        <v>7.3600045076065861</v>
      </c>
      <c r="M53">
        <v>0.24631466750883285</v>
      </c>
      <c r="N53">
        <v>0.17038160621396453</v>
      </c>
      <c r="O53">
        <v>15.367402288291297</v>
      </c>
      <c r="P53" s="3">
        <v>42.086933739045278</v>
      </c>
      <c r="Q53" s="3">
        <v>3.0107078986950224</v>
      </c>
    </row>
    <row r="54" spans="1:17" x14ac:dyDescent="0.3">
      <c r="A54" s="13">
        <v>10050</v>
      </c>
      <c r="B54" s="15" t="s">
        <v>160</v>
      </c>
      <c r="C54" s="15" t="s">
        <v>158</v>
      </c>
      <c r="D54" s="24">
        <v>1</v>
      </c>
      <c r="E54" s="1" t="s">
        <v>162</v>
      </c>
      <c r="F54">
        <v>0.32642023911324802</v>
      </c>
      <c r="G54">
        <v>4.794182959507741</v>
      </c>
      <c r="H54">
        <v>5.4037567305146084</v>
      </c>
      <c r="I54">
        <v>18.557237488141407</v>
      </c>
      <c r="J54">
        <v>4.3167811454960459E-2</v>
      </c>
      <c r="K54">
        <v>8.5120277475613886</v>
      </c>
      <c r="L54">
        <v>6.6887337381831848</v>
      </c>
      <c r="M54">
        <v>0.24836728973807315</v>
      </c>
      <c r="N54">
        <v>0.20290900376390322</v>
      </c>
      <c r="O54">
        <v>14.43463128444964</v>
      </c>
      <c r="P54" s="3">
        <v>43.28263119447827</v>
      </c>
      <c r="Q54" s="3">
        <v>2.3295183770880792</v>
      </c>
    </row>
    <row r="55" spans="1:17" x14ac:dyDescent="0.3">
      <c r="A55" s="13">
        <v>10069</v>
      </c>
      <c r="B55" s="15" t="s">
        <v>160</v>
      </c>
      <c r="C55" s="15" t="s">
        <v>158</v>
      </c>
      <c r="D55" s="24">
        <v>1</v>
      </c>
      <c r="E55" s="1" t="s">
        <v>162</v>
      </c>
      <c r="F55">
        <v>0.43769986608367345</v>
      </c>
      <c r="G55">
        <v>4.6856354208019049</v>
      </c>
      <c r="H55">
        <v>4.1811633860005291</v>
      </c>
      <c r="I55">
        <v>18.847048249920945</v>
      </c>
      <c r="J55">
        <v>0.23742296300228249</v>
      </c>
      <c r="K55">
        <v>7.6472457513775689</v>
      </c>
      <c r="L55">
        <v>6.946453765729669</v>
      </c>
      <c r="M55">
        <v>0.24905149714781991</v>
      </c>
      <c r="N55">
        <v>0.18277299575679828</v>
      </c>
      <c r="O55">
        <v>15.24303282111241</v>
      </c>
      <c r="P55" s="3">
        <v>41.393467360397018</v>
      </c>
      <c r="Q55" s="3">
        <v>2.9983032264097571</v>
      </c>
    </row>
    <row r="56" spans="1:17" x14ac:dyDescent="0.3">
      <c r="A56" s="13">
        <v>10022</v>
      </c>
      <c r="B56" s="15" t="s">
        <v>160</v>
      </c>
      <c r="C56" s="15" t="s">
        <v>158</v>
      </c>
      <c r="D56" s="24">
        <v>1</v>
      </c>
      <c r="E56" s="1" t="s">
        <v>162</v>
      </c>
      <c r="F56">
        <v>0.6750964036205811</v>
      </c>
      <c r="G56">
        <v>4.6675441643509323</v>
      </c>
      <c r="H56">
        <v>4.551646217671462</v>
      </c>
      <c r="I56">
        <v>18.744212173160463</v>
      </c>
      <c r="J56">
        <v>0.24904506608631033</v>
      </c>
      <c r="K56">
        <v>7.6472457513775689</v>
      </c>
      <c r="L56">
        <v>7.3120565955049148</v>
      </c>
      <c r="M56">
        <v>0.25315674160630047</v>
      </c>
      <c r="N56">
        <v>0.19361546160677787</v>
      </c>
      <c r="O56">
        <v>14.691143310506096</v>
      </c>
      <c r="P56" s="3">
        <v>42.196455996630064</v>
      </c>
      <c r="Q56" s="3">
        <v>2.8052276339233924</v>
      </c>
    </row>
    <row r="57" spans="1:17" x14ac:dyDescent="0.3">
      <c r="A57" s="13">
        <v>10020</v>
      </c>
      <c r="B57" s="15" t="s">
        <v>160</v>
      </c>
      <c r="C57" s="15" t="s">
        <v>158</v>
      </c>
      <c r="D57" s="24">
        <v>1</v>
      </c>
      <c r="E57" s="1" t="s">
        <v>162</v>
      </c>
      <c r="F57">
        <v>0.28932703012310618</v>
      </c>
      <c r="G57">
        <v>4.7459396089718142</v>
      </c>
      <c r="H57">
        <v>5.3931715067525809</v>
      </c>
      <c r="I57">
        <v>18.674096666278317</v>
      </c>
      <c r="J57">
        <v>4.150751101438506E-2</v>
      </c>
      <c r="K57">
        <v>8.0832102287925522</v>
      </c>
      <c r="L57">
        <v>6.3051504413698121</v>
      </c>
      <c r="M57">
        <v>0.25999881570376804</v>
      </c>
      <c r="N57">
        <v>0.2091046985353201</v>
      </c>
      <c r="O57">
        <v>14.877697511274429</v>
      </c>
      <c r="P57" s="3">
        <v>42.29497578018173</v>
      </c>
      <c r="Q57" s="3">
        <v>2.4406211352877722</v>
      </c>
    </row>
    <row r="58" spans="1:17" x14ac:dyDescent="0.3">
      <c r="A58" s="13">
        <v>10020</v>
      </c>
      <c r="B58" s="15" t="s">
        <v>160</v>
      </c>
      <c r="C58" s="15" t="s">
        <v>158</v>
      </c>
      <c r="D58" s="24">
        <v>1</v>
      </c>
      <c r="E58" s="1" t="s">
        <v>162</v>
      </c>
      <c r="F58">
        <v>0.27448974652704944</v>
      </c>
      <c r="G58">
        <v>4.8062437971417227</v>
      </c>
      <c r="H58">
        <v>5.149711360225969</v>
      </c>
      <c r="I58">
        <v>18.917163756803092</v>
      </c>
      <c r="J58">
        <v>3.3206008811508043E-2</v>
      </c>
      <c r="K58">
        <v>8.6049382099613023</v>
      </c>
      <c r="L58">
        <v>6.359091842484192</v>
      </c>
      <c r="M58">
        <v>0.25999881570376804</v>
      </c>
      <c r="N58">
        <v>0.19361546160677787</v>
      </c>
      <c r="O58">
        <v>14.216984716886587</v>
      </c>
      <c r="P58" s="3">
        <v>43.717785050849592</v>
      </c>
      <c r="Q58" s="3">
        <v>2.5530592535316412</v>
      </c>
    </row>
    <row r="59" spans="1:17" x14ac:dyDescent="0.3">
      <c r="A59" s="13">
        <v>10032</v>
      </c>
      <c r="B59" s="15" t="s">
        <v>160</v>
      </c>
      <c r="C59" s="15" t="s">
        <v>158</v>
      </c>
      <c r="D59" s="24">
        <v>1</v>
      </c>
      <c r="E59" s="1" t="s">
        <v>162</v>
      </c>
      <c r="F59">
        <v>0.33383888091127639</v>
      </c>
      <c r="G59">
        <v>5.3127989777689555</v>
      </c>
      <c r="H59">
        <v>3.7471692117574364</v>
      </c>
      <c r="I59">
        <v>18.459075778506403</v>
      </c>
      <c r="J59">
        <v>0.23244206168055634</v>
      </c>
      <c r="K59">
        <v>7.2970447777163541</v>
      </c>
      <c r="L59">
        <v>7.8274966505978849</v>
      </c>
      <c r="M59">
        <v>0.25999881570376804</v>
      </c>
      <c r="N59">
        <v>0.2091046985353201</v>
      </c>
      <c r="O59">
        <v>15.05647862034408</v>
      </c>
      <c r="P59" s="3">
        <v>44.774360709403361</v>
      </c>
      <c r="Q59" s="3">
        <v>3.4754423398135295</v>
      </c>
    </row>
    <row r="60" spans="1:17" ht="14.5" customHeight="1" x14ac:dyDescent="0.3">
      <c r="A60" s="13">
        <v>10085</v>
      </c>
      <c r="B60" s="15" t="s">
        <v>160</v>
      </c>
      <c r="C60" s="15" t="s">
        <v>158</v>
      </c>
      <c r="D60" s="24">
        <v>1</v>
      </c>
      <c r="E60" s="1" t="s">
        <v>162</v>
      </c>
      <c r="F60">
        <v>0.27671533906645795</v>
      </c>
      <c r="G60">
        <v>5.4273769352917824</v>
      </c>
      <c r="H60">
        <v>5.3984641186335942</v>
      </c>
      <c r="I60">
        <v>18.295472929114727</v>
      </c>
      <c r="J60">
        <v>4.3997961675248158E-2</v>
      </c>
      <c r="K60">
        <v>7.8616545107619871</v>
      </c>
      <c r="L60">
        <v>5.4540750015651414</v>
      </c>
      <c r="M60">
        <v>0.26273564534275506</v>
      </c>
      <c r="N60">
        <v>0.215300393306737</v>
      </c>
      <c r="O60">
        <v>15.701645231334558</v>
      </c>
      <c r="P60" s="3">
        <v>44.265058564965301</v>
      </c>
      <c r="Q60" s="3">
        <v>2.4633206476644522</v>
      </c>
    </row>
    <row r="61" spans="1:17" x14ac:dyDescent="0.3">
      <c r="A61" s="13">
        <v>10072</v>
      </c>
      <c r="B61" s="15" t="s">
        <v>160</v>
      </c>
      <c r="C61" s="15" t="s">
        <v>158</v>
      </c>
      <c r="D61" s="24">
        <v>1</v>
      </c>
      <c r="E61" s="1" t="s">
        <v>162</v>
      </c>
      <c r="F61">
        <v>0.40802529889156003</v>
      </c>
      <c r="G61">
        <v>4.8303654724096861</v>
      </c>
      <c r="H61">
        <v>4.0541407008562098</v>
      </c>
      <c r="I61">
        <v>18.608655526521648</v>
      </c>
      <c r="J61">
        <v>0.22331040925739162</v>
      </c>
      <c r="K61">
        <v>7.4328369919931516</v>
      </c>
      <c r="L61">
        <v>7.3540110185938774</v>
      </c>
      <c r="M61">
        <v>0.26547247498174209</v>
      </c>
      <c r="N61">
        <v>0.18044961021751699</v>
      </c>
      <c r="O61">
        <v>15.0875709871388</v>
      </c>
      <c r="P61" s="3">
        <v>42.383465701744058</v>
      </c>
      <c r="Q61" s="3">
        <v>3.2863415411783579</v>
      </c>
    </row>
    <row r="62" spans="1:17" ht="14.5" customHeight="1" x14ac:dyDescent="0.3">
      <c r="A62" s="13">
        <v>10020</v>
      </c>
      <c r="B62" s="15" t="s">
        <v>160</v>
      </c>
      <c r="C62" s="15" t="s">
        <v>158</v>
      </c>
      <c r="D62" s="24">
        <v>1</v>
      </c>
      <c r="E62" s="1" t="s">
        <v>162</v>
      </c>
      <c r="F62">
        <v>0.30416431371916292</v>
      </c>
      <c r="G62">
        <v>4.8967000793965854</v>
      </c>
      <c r="H62">
        <v>5.065029570129755</v>
      </c>
      <c r="I62">
        <v>18.463750145631877</v>
      </c>
      <c r="J62">
        <v>2.8225107489781839E-2</v>
      </c>
      <c r="K62">
        <v>8.147532856607878</v>
      </c>
      <c r="L62">
        <v>6.3650853314969007</v>
      </c>
      <c r="M62">
        <v>0.2709461342597162</v>
      </c>
      <c r="N62">
        <v>0.20368346561033032</v>
      </c>
      <c r="O62">
        <v>14.885470602973108</v>
      </c>
      <c r="P62" s="3">
        <v>43.047187427390512</v>
      </c>
      <c r="Q62" s="3">
        <v>2.7009332512324082</v>
      </c>
    </row>
    <row r="63" spans="1:17" x14ac:dyDescent="0.3">
      <c r="A63" s="13">
        <v>10020</v>
      </c>
      <c r="B63" s="15" t="s">
        <v>160</v>
      </c>
      <c r="C63" s="15" t="s">
        <v>158</v>
      </c>
      <c r="D63" s="24">
        <v>1</v>
      </c>
      <c r="E63" s="1" t="s">
        <v>162</v>
      </c>
      <c r="F63">
        <v>0.27448974652704944</v>
      </c>
      <c r="G63">
        <v>4.7097570960698683</v>
      </c>
      <c r="H63">
        <v>5.3137823285373811</v>
      </c>
      <c r="I63">
        <v>18.660073564901889</v>
      </c>
      <c r="J63">
        <v>4.150751101438506E-2</v>
      </c>
      <c r="K63">
        <v>8.0331815182695223</v>
      </c>
      <c r="L63">
        <v>6.4250202216239911</v>
      </c>
      <c r="M63">
        <v>0.27368296389870322</v>
      </c>
      <c r="N63">
        <v>0.18587084314250674</v>
      </c>
      <c r="O63">
        <v>15.040932436946719</v>
      </c>
      <c r="P63" s="3">
        <v>41.842529311534527</v>
      </c>
      <c r="Q63" s="3">
        <v>2.6031145311418276</v>
      </c>
    </row>
    <row r="64" spans="1:17" x14ac:dyDescent="0.3">
      <c r="A64" s="13">
        <v>10072</v>
      </c>
      <c r="B64" s="15" t="s">
        <v>160</v>
      </c>
      <c r="C64" s="15" t="s">
        <v>158</v>
      </c>
      <c r="D64" s="24">
        <v>1</v>
      </c>
      <c r="E64" s="1" t="s">
        <v>162</v>
      </c>
      <c r="F64">
        <v>0.40802529889156003</v>
      </c>
      <c r="G64">
        <v>4.8605175664946403</v>
      </c>
      <c r="H64">
        <v>4.366404801835996</v>
      </c>
      <c r="I64">
        <v>19.45471597623288</v>
      </c>
      <c r="J64">
        <v>0.21583905727480229</v>
      </c>
      <c r="K64">
        <v>7.890242345346576</v>
      </c>
      <c r="L64">
        <v>6.6048248920052588</v>
      </c>
      <c r="M64">
        <v>0.27368296389870322</v>
      </c>
      <c r="N64">
        <v>0.13165851389260896</v>
      </c>
      <c r="O64">
        <v>14.40353891765492</v>
      </c>
      <c r="P64" s="3">
        <v>43.673315615701185</v>
      </c>
      <c r="Q64" s="3">
        <v>3.1501197213719254</v>
      </c>
    </row>
    <row r="65" spans="1:17" x14ac:dyDescent="0.3">
      <c r="A65" s="13">
        <v>10022</v>
      </c>
      <c r="B65" s="15" t="s">
        <v>160</v>
      </c>
      <c r="C65" s="15" t="s">
        <v>158</v>
      </c>
      <c r="D65" s="24">
        <v>1</v>
      </c>
      <c r="E65" s="1" t="s">
        <v>162</v>
      </c>
      <c r="F65">
        <v>0.35609480630536144</v>
      </c>
      <c r="G65">
        <v>4.9992171992854297</v>
      </c>
      <c r="H65">
        <v>4.2393821166916759</v>
      </c>
      <c r="I65">
        <v>19.132184644575005</v>
      </c>
      <c r="J65">
        <v>0.18263304846329426</v>
      </c>
      <c r="K65">
        <v>7.8688014694081341</v>
      </c>
      <c r="L65">
        <v>7.0243691228948864</v>
      </c>
      <c r="M65">
        <v>0.27368296389870322</v>
      </c>
      <c r="N65">
        <v>0.17812622467823563</v>
      </c>
      <c r="O65">
        <v>14.504589109737765</v>
      </c>
      <c r="P65" s="3">
        <v>44.194160631388016</v>
      </c>
      <c r="Q65" s="3">
        <v>3.241445872553439</v>
      </c>
    </row>
    <row r="66" spans="1:17" x14ac:dyDescent="0.3">
      <c r="A66" s="13">
        <v>10069</v>
      </c>
      <c r="B66" s="15" t="s">
        <v>160</v>
      </c>
      <c r="C66" s="15" t="s">
        <v>158</v>
      </c>
      <c r="D66" s="24">
        <v>1</v>
      </c>
      <c r="E66" s="1" t="s">
        <v>162</v>
      </c>
      <c r="F66">
        <v>0.35609480630536144</v>
      </c>
      <c r="G66">
        <v>5.0293692933703849</v>
      </c>
      <c r="H66">
        <v>3.9112401800688494</v>
      </c>
      <c r="I66">
        <v>18.300147296240201</v>
      </c>
      <c r="J66">
        <v>0.19093455066617127</v>
      </c>
      <c r="K66">
        <v>7.0040194732243162</v>
      </c>
      <c r="L66">
        <v>7.6416984912039077</v>
      </c>
      <c r="M66">
        <v>0.27368296389870322</v>
      </c>
      <c r="N66">
        <v>0.24008317239240456</v>
      </c>
      <c r="O66">
        <v>15.989249624185735</v>
      </c>
      <c r="P66" s="3">
        <v>41.952488063145807</v>
      </c>
      <c r="Q66" s="3">
        <v>3.5038652751585033</v>
      </c>
    </row>
    <row r="67" spans="1:17" x14ac:dyDescent="0.3">
      <c r="A67" s="13">
        <v>10022</v>
      </c>
      <c r="B67" s="15" t="s">
        <v>160</v>
      </c>
      <c r="C67" s="15" t="s">
        <v>158</v>
      </c>
      <c r="D67" s="24">
        <v>1</v>
      </c>
      <c r="E67" s="1" t="s">
        <v>162</v>
      </c>
      <c r="F67">
        <v>0.29674567192113455</v>
      </c>
      <c r="G67">
        <v>3.9197722310440648</v>
      </c>
      <c r="H67">
        <v>4.0753111483802629</v>
      </c>
      <c r="I67">
        <v>20.099778639548624</v>
      </c>
      <c r="J67">
        <v>0.17433154626041722</v>
      </c>
      <c r="K67">
        <v>6.4322627815325353</v>
      </c>
      <c r="L67">
        <v>6.5928379139798414</v>
      </c>
      <c r="M67">
        <v>0.28052503799617073</v>
      </c>
      <c r="N67">
        <v>0.201360080071049</v>
      </c>
      <c r="O67">
        <v>16.323492567228996</v>
      </c>
      <c r="P67" s="3">
        <v>35.556316955617987</v>
      </c>
      <c r="Q67" s="3">
        <v>3.4488362370862649</v>
      </c>
    </row>
    <row r="68" spans="1:17" x14ac:dyDescent="0.3">
      <c r="A68" s="13">
        <v>10085</v>
      </c>
      <c r="B68" s="15" t="s">
        <v>160</v>
      </c>
      <c r="C68" s="15" t="s">
        <v>158</v>
      </c>
      <c r="D68" s="24">
        <v>1</v>
      </c>
      <c r="E68" s="1" t="s">
        <v>162</v>
      </c>
      <c r="F68">
        <v>0.26039432711079558</v>
      </c>
      <c r="G68">
        <v>4.221293171893608</v>
      </c>
      <c r="H68">
        <v>5.7160208314943945</v>
      </c>
      <c r="I68">
        <v>18.884443186924756</v>
      </c>
      <c r="J68">
        <v>4.3997961675248158E-2</v>
      </c>
      <c r="K68">
        <v>8.2190024430693498</v>
      </c>
      <c r="L68">
        <v>5.9934890127089471</v>
      </c>
      <c r="M68">
        <v>0.28052503799617073</v>
      </c>
      <c r="N68">
        <v>0.21375146961388278</v>
      </c>
      <c r="O68">
        <v>15.07979789544012</v>
      </c>
      <c r="P68" s="3">
        <v>39.142731009267081</v>
      </c>
      <c r="Q68" s="3">
        <v>2.4834775326042338</v>
      </c>
    </row>
    <row r="69" spans="1:17" x14ac:dyDescent="0.3">
      <c r="A69" s="13">
        <v>10045</v>
      </c>
      <c r="B69" s="15" t="s">
        <v>160</v>
      </c>
      <c r="C69" s="15" t="s">
        <v>158</v>
      </c>
      <c r="D69" s="24">
        <v>1</v>
      </c>
      <c r="E69" s="1" t="s">
        <v>162</v>
      </c>
      <c r="F69">
        <v>0.32642023911324802</v>
      </c>
      <c r="G69">
        <v>4.6253312326319964</v>
      </c>
      <c r="H69">
        <v>5.3084897166563678</v>
      </c>
      <c r="I69">
        <v>18.618004260772597</v>
      </c>
      <c r="J69">
        <v>3.3206008811508043E-2</v>
      </c>
      <c r="K69">
        <v>7.9545649731619026</v>
      </c>
      <c r="L69">
        <v>6.6048248920052588</v>
      </c>
      <c r="M69">
        <v>0.28052503799617073</v>
      </c>
      <c r="N69">
        <v>0.21684931699959123</v>
      </c>
      <c r="O69">
        <v>14.978747703357273</v>
      </c>
      <c r="P69" s="3">
        <v>41.503565002966482</v>
      </c>
      <c r="Q69" s="3">
        <v>2.6690446467139344</v>
      </c>
    </row>
    <row r="70" spans="1:17" x14ac:dyDescent="0.3">
      <c r="A70" s="13">
        <v>10024</v>
      </c>
      <c r="B70" s="15" t="s">
        <v>160</v>
      </c>
      <c r="C70" s="15" t="s">
        <v>158</v>
      </c>
      <c r="D70" s="24">
        <v>1</v>
      </c>
      <c r="E70" s="1" t="s">
        <v>162</v>
      </c>
      <c r="F70">
        <v>0.31900159731521965</v>
      </c>
      <c r="G70">
        <v>5.2705860460500196</v>
      </c>
      <c r="H70">
        <v>3.8106805543295965</v>
      </c>
      <c r="I70">
        <v>18.6974685019057</v>
      </c>
      <c r="J70">
        <v>0.34036159031795743</v>
      </c>
      <c r="K70">
        <v>7.2184282326087335</v>
      </c>
      <c r="L70">
        <v>7.7495812934326684</v>
      </c>
      <c r="M70">
        <v>0.28052503799617073</v>
      </c>
      <c r="N70">
        <v>0.17812622467823563</v>
      </c>
      <c r="O70">
        <v>14.838832052781026</v>
      </c>
      <c r="P70" s="3">
        <v>44.937208080451605</v>
      </c>
      <c r="Q70" s="3">
        <v>3.6795261957178798</v>
      </c>
    </row>
    <row r="71" spans="1:17" x14ac:dyDescent="0.3">
      <c r="A71" s="13">
        <v>10071</v>
      </c>
      <c r="B71" s="15" t="s">
        <v>160</v>
      </c>
      <c r="C71" s="15" t="s">
        <v>158</v>
      </c>
      <c r="D71" s="24">
        <v>1</v>
      </c>
      <c r="E71" s="1" t="s">
        <v>162</v>
      </c>
      <c r="F71">
        <v>0.39318801529550329</v>
      </c>
      <c r="G71">
        <v>4.9087609170305679</v>
      </c>
      <c r="H71">
        <v>4.3875752493600491</v>
      </c>
      <c r="I71">
        <v>18.861071351297372</v>
      </c>
      <c r="J71">
        <v>0.19923605286904827</v>
      </c>
      <c r="K71">
        <v>7.4614248265777405</v>
      </c>
      <c r="L71">
        <v>7.4079524197082582</v>
      </c>
      <c r="M71">
        <v>0.28736711209363835</v>
      </c>
      <c r="N71">
        <v>0.11616927696406672</v>
      </c>
      <c r="O71">
        <v>14.41908510105228</v>
      </c>
      <c r="P71" s="3">
        <v>43.889860099448732</v>
      </c>
      <c r="Q71" s="3">
        <v>3.2870134651693492</v>
      </c>
    </row>
    <row r="72" spans="1:17" ht="14" customHeight="1" x14ac:dyDescent="0.3">
      <c r="A72" s="13">
        <v>10092</v>
      </c>
      <c r="B72" s="15" t="s">
        <v>160</v>
      </c>
      <c r="C72" s="15" t="s">
        <v>158</v>
      </c>
      <c r="D72" s="24">
        <v>1</v>
      </c>
      <c r="E72" s="1" t="s">
        <v>162</v>
      </c>
      <c r="F72">
        <v>0.25223382113296439</v>
      </c>
      <c r="G72">
        <v>5.1379168320762201</v>
      </c>
      <c r="H72">
        <v>4.9962256156765816</v>
      </c>
      <c r="I72">
        <v>18.159916282475912</v>
      </c>
      <c r="J72">
        <v>4.9809013217262069E-2</v>
      </c>
      <c r="K72">
        <v>7.8545075521158401</v>
      </c>
      <c r="L72">
        <v>6.514922556814625</v>
      </c>
      <c r="M72">
        <v>0.29420918619110592</v>
      </c>
      <c r="N72">
        <v>0.23233855392813343</v>
      </c>
      <c r="O72">
        <v>15.040932436946719</v>
      </c>
      <c r="P72" s="3">
        <v>43.97369504542435</v>
      </c>
      <c r="Q72" s="3">
        <v>2.965146426221287</v>
      </c>
    </row>
    <row r="73" spans="1:17" x14ac:dyDescent="0.3">
      <c r="A73" s="13">
        <v>10092</v>
      </c>
      <c r="B73" s="15" t="s">
        <v>160</v>
      </c>
      <c r="C73" s="15" t="s">
        <v>158</v>
      </c>
      <c r="D73" s="24">
        <v>1</v>
      </c>
      <c r="E73" s="1" t="s">
        <v>162</v>
      </c>
      <c r="F73">
        <v>0.24481517933493602</v>
      </c>
      <c r="G73">
        <v>5.367072747121874</v>
      </c>
      <c r="H73">
        <v>5.1126630770588752</v>
      </c>
      <c r="I73">
        <v>17.785966912437793</v>
      </c>
      <c r="J73">
        <v>1.6603004405754022E-2</v>
      </c>
      <c r="K73">
        <v>8.1332389393155839</v>
      </c>
      <c r="L73">
        <v>7.6357050021911981</v>
      </c>
      <c r="M73">
        <v>0.30105126028857349</v>
      </c>
      <c r="N73">
        <v>0.17812622467823563</v>
      </c>
      <c r="O73">
        <v>14.28694254217471</v>
      </c>
      <c r="P73" s="3">
        <v>46.32748932632272</v>
      </c>
      <c r="Q73" s="3">
        <v>2.9650078914049409</v>
      </c>
    </row>
    <row r="74" spans="1:17" x14ac:dyDescent="0.3">
      <c r="A74" s="13">
        <v>10085</v>
      </c>
      <c r="B74" s="15" t="s">
        <v>160</v>
      </c>
      <c r="C74" s="15" t="s">
        <v>158</v>
      </c>
      <c r="D74" s="24">
        <v>1</v>
      </c>
      <c r="E74" s="1" t="s">
        <v>162</v>
      </c>
      <c r="F74">
        <v>0.4970490004679004</v>
      </c>
      <c r="G74">
        <v>4.3780840611353709</v>
      </c>
      <c r="H74">
        <v>4.8109841998411156</v>
      </c>
      <c r="I74">
        <v>19.473413444734785</v>
      </c>
      <c r="J74">
        <v>0.19923605286904827</v>
      </c>
      <c r="K74">
        <v>7.5114535371007713</v>
      </c>
      <c r="L74">
        <v>6.9104928316534151</v>
      </c>
      <c r="M74">
        <v>0.30789333438604111</v>
      </c>
      <c r="N74">
        <v>0.19361546160677787</v>
      </c>
      <c r="O74">
        <v>14.885470602973108</v>
      </c>
      <c r="P74" s="3">
        <v>40.3265652140486</v>
      </c>
      <c r="Q74" s="3">
        <v>3.2142666644977829</v>
      </c>
    </row>
    <row r="75" spans="1:17" x14ac:dyDescent="0.3">
      <c r="A75" s="13">
        <v>10045</v>
      </c>
      <c r="B75" s="15" t="s">
        <v>160</v>
      </c>
      <c r="C75" s="15" t="s">
        <v>158</v>
      </c>
      <c r="D75" s="24">
        <v>1</v>
      </c>
      <c r="E75" s="1" t="s">
        <v>162</v>
      </c>
      <c r="F75">
        <v>0.26707110472902107</v>
      </c>
      <c r="G75">
        <v>4.8846392417626037</v>
      </c>
      <c r="H75">
        <v>5.0332738988436754</v>
      </c>
      <c r="I75">
        <v>18.510493816886644</v>
      </c>
      <c r="J75">
        <v>4.150751101438506E-2</v>
      </c>
      <c r="K75">
        <v>7.9116832212850179</v>
      </c>
      <c r="L75">
        <v>6.6527728041069309</v>
      </c>
      <c r="M75">
        <v>0.32157748258097624</v>
      </c>
      <c r="N75">
        <v>0.21684931699959123</v>
      </c>
      <c r="O75">
        <v>14.862151327877068</v>
      </c>
      <c r="P75" s="3">
        <v>43.025165937071343</v>
      </c>
      <c r="Q75" s="3">
        <v>3.2090323935307676</v>
      </c>
    </row>
    <row r="76" spans="1:17" x14ac:dyDescent="0.3">
      <c r="A76" s="13">
        <v>10085</v>
      </c>
      <c r="B76" s="15" t="s">
        <v>160</v>
      </c>
      <c r="C76" s="15" t="s">
        <v>158</v>
      </c>
      <c r="D76" s="24">
        <v>1</v>
      </c>
      <c r="E76" s="1" t="s">
        <v>162</v>
      </c>
      <c r="F76">
        <v>0.24184772261572465</v>
      </c>
      <c r="G76">
        <v>5.4273769352917824</v>
      </c>
      <c r="H76">
        <v>4.8162768117221288</v>
      </c>
      <c r="I76">
        <v>18.688119767654744</v>
      </c>
      <c r="J76">
        <v>3.8186910133234254E-2</v>
      </c>
      <c r="K76">
        <v>7.7901849243005152</v>
      </c>
      <c r="L76">
        <v>5.9335541225818575</v>
      </c>
      <c r="M76">
        <v>0.33799846041489845</v>
      </c>
      <c r="N76">
        <v>0.19748777083891342</v>
      </c>
      <c r="O76">
        <v>13.991565057624854</v>
      </c>
      <c r="P76" s="3">
        <v>47.125652664445198</v>
      </c>
      <c r="Q76" s="3">
        <v>3.5137660361252108</v>
      </c>
    </row>
    <row r="77" spans="1:17" x14ac:dyDescent="0.3">
      <c r="A77" s="13">
        <v>10045</v>
      </c>
      <c r="B77" s="15" t="s">
        <v>160</v>
      </c>
      <c r="C77" s="15" t="s">
        <v>158</v>
      </c>
      <c r="D77" s="24">
        <v>1</v>
      </c>
      <c r="E77" s="1" t="s">
        <v>162</v>
      </c>
      <c r="F77">
        <v>0.37835073169944655</v>
      </c>
      <c r="G77">
        <v>4.221293171893608</v>
      </c>
      <c r="H77">
        <v>6.8803954453173271</v>
      </c>
      <c r="I77">
        <v>19.632341927000983</v>
      </c>
      <c r="J77">
        <v>8.3015022028770119E-2</v>
      </c>
      <c r="K77">
        <v>7.1469586461472616</v>
      </c>
      <c r="L77">
        <v>4.7947912101671575</v>
      </c>
      <c r="M77">
        <v>0.34894577897084655</v>
      </c>
      <c r="N77">
        <v>0.2091046985353201</v>
      </c>
      <c r="O77">
        <v>13.991565057624854</v>
      </c>
      <c r="P77" s="3">
        <v>40.940751233331703</v>
      </c>
      <c r="Q77" s="3">
        <v>2.5642886643033735</v>
      </c>
    </row>
    <row r="78" spans="1:17" x14ac:dyDescent="0.3">
      <c r="A78" s="13">
        <v>10060</v>
      </c>
      <c r="B78" s="15" t="s">
        <v>160</v>
      </c>
      <c r="C78" s="15" t="s">
        <v>158</v>
      </c>
      <c r="D78" s="24">
        <v>1</v>
      </c>
      <c r="E78" s="1" t="s">
        <v>162</v>
      </c>
      <c r="F78">
        <v>0.17804740315268072</v>
      </c>
      <c r="G78">
        <v>4.9268521734815396</v>
      </c>
      <c r="H78">
        <v>4.0964815959043159</v>
      </c>
      <c r="I78">
        <v>18.60398115939617</v>
      </c>
      <c r="J78">
        <v>0.29885407930357238</v>
      </c>
      <c r="K78">
        <v>6.8539333416552237</v>
      </c>
      <c r="L78">
        <v>8.4568129969323245</v>
      </c>
      <c r="M78">
        <v>0.35578785306831417</v>
      </c>
      <c r="N78">
        <v>0.201360080071049</v>
      </c>
      <c r="O78">
        <v>14.574546935025889</v>
      </c>
      <c r="P78" s="3">
        <v>43.716434863581952</v>
      </c>
      <c r="Q78" s="3">
        <v>4.3125989281825508</v>
      </c>
    </row>
    <row r="79" spans="1:17" x14ac:dyDescent="0.3">
      <c r="A79" s="13">
        <v>10058</v>
      </c>
      <c r="B79" s="15" t="s">
        <v>160</v>
      </c>
      <c r="C79" s="15" t="s">
        <v>158</v>
      </c>
      <c r="D79" s="24">
        <v>1</v>
      </c>
      <c r="E79" s="1" t="s">
        <v>162</v>
      </c>
      <c r="F79">
        <v>0.4154439406895884</v>
      </c>
      <c r="G79">
        <v>3.9197722310440648</v>
      </c>
      <c r="H79">
        <v>6.8803954453173271</v>
      </c>
      <c r="I79">
        <v>20.099778639548624</v>
      </c>
      <c r="J79">
        <v>9.1316524231647128E-2</v>
      </c>
      <c r="K79">
        <v>7.5043065784546243</v>
      </c>
      <c r="L79">
        <v>5.3941401114380518</v>
      </c>
      <c r="M79">
        <v>0.36947200126324931</v>
      </c>
      <c r="N79">
        <v>0.42595401553491136</v>
      </c>
      <c r="O79">
        <v>13.214255887756806</v>
      </c>
      <c r="P79" s="3">
        <v>40.531560885090009</v>
      </c>
      <c r="Q79" s="3">
        <v>2.7110398276749947</v>
      </c>
    </row>
    <row r="80" spans="1:17" x14ac:dyDescent="0.3">
      <c r="A80" s="13">
        <v>10017</v>
      </c>
      <c r="B80" s="15" t="s">
        <v>160</v>
      </c>
      <c r="C80" s="15" t="s">
        <v>158</v>
      </c>
      <c r="D80" s="24">
        <v>1</v>
      </c>
      <c r="E80" s="1" t="s">
        <v>162</v>
      </c>
      <c r="F80">
        <v>0.48221171687184367</v>
      </c>
      <c r="G80">
        <v>5.1258559944422384</v>
      </c>
      <c r="H80">
        <v>5.292611881013328</v>
      </c>
      <c r="I80">
        <v>18.6974685019057</v>
      </c>
      <c r="J80">
        <v>0.18263304846329426</v>
      </c>
      <c r="K80">
        <v>7.1469586461472616</v>
      </c>
      <c r="L80">
        <v>6.5928379139798414</v>
      </c>
      <c r="M80">
        <v>0.45841896453032788</v>
      </c>
      <c r="N80">
        <v>0.27106164624948897</v>
      </c>
      <c r="O80">
        <v>14.768874227492901</v>
      </c>
      <c r="P80" s="3">
        <v>44.365868720258639</v>
      </c>
      <c r="Q80" s="3">
        <v>4.3013287708460251</v>
      </c>
    </row>
    <row r="81" spans="1:17" x14ac:dyDescent="0.3">
      <c r="A81" s="13">
        <v>10072</v>
      </c>
      <c r="B81" s="15" t="s">
        <v>160</v>
      </c>
      <c r="C81" s="15" t="s">
        <v>158</v>
      </c>
      <c r="D81" s="24">
        <v>1</v>
      </c>
      <c r="E81" s="1" t="s">
        <v>162</v>
      </c>
      <c r="F81">
        <v>0.44511850788170182</v>
      </c>
      <c r="G81">
        <v>4.8243350535926952</v>
      </c>
      <c r="H81">
        <v>4.7633506929119953</v>
      </c>
      <c r="I81">
        <v>21.034652064643911</v>
      </c>
      <c r="J81">
        <v>0.16603004405754024</v>
      </c>
      <c r="K81">
        <v>6.789610713839898</v>
      </c>
      <c r="L81">
        <v>5.9934890127089471</v>
      </c>
      <c r="M81">
        <v>0.47210311272526295</v>
      </c>
      <c r="N81">
        <v>0.27880626471376013</v>
      </c>
      <c r="O81">
        <v>13.214255887756806</v>
      </c>
      <c r="P81" s="3">
        <v>45.61813448472919</v>
      </c>
      <c r="Q81" s="3">
        <v>4.891561963157705</v>
      </c>
    </row>
    <row r="82" spans="1:17" x14ac:dyDescent="0.3">
      <c r="A82" s="13">
        <v>10050</v>
      </c>
      <c r="B82" s="15" t="s">
        <v>160</v>
      </c>
      <c r="C82" s="15" t="s">
        <v>158</v>
      </c>
      <c r="D82" s="24">
        <v>1</v>
      </c>
      <c r="E82" s="1" t="s">
        <v>162</v>
      </c>
      <c r="F82">
        <v>0.37835073169944655</v>
      </c>
      <c r="G82">
        <v>6.0304188169908688</v>
      </c>
      <c r="H82">
        <v>5.8218730691146607</v>
      </c>
      <c r="I82">
        <v>17.762595076810413</v>
      </c>
      <c r="J82">
        <v>5.3129614098412874E-2</v>
      </c>
      <c r="K82">
        <v>7.1469586461472616</v>
      </c>
      <c r="L82">
        <v>5.3941401114380518</v>
      </c>
      <c r="M82">
        <v>0.47894518682273057</v>
      </c>
      <c r="N82">
        <v>0.38723092321355573</v>
      </c>
      <c r="O82">
        <v>15.546183397360949</v>
      </c>
      <c r="P82" s="3">
        <v>47.125652664445205</v>
      </c>
      <c r="Q82" s="3">
        <v>4.0942280452099942</v>
      </c>
    </row>
    <row r="83" spans="1:17" x14ac:dyDescent="0.3">
      <c r="A83" s="13">
        <v>10057</v>
      </c>
      <c r="B83" s="15" t="s">
        <v>160</v>
      </c>
      <c r="C83" s="15" t="s">
        <v>158</v>
      </c>
      <c r="D83" s="24">
        <v>1</v>
      </c>
      <c r="E83" s="1" t="s">
        <v>162</v>
      </c>
      <c r="F83">
        <v>0.40060665709353166</v>
      </c>
      <c r="G83">
        <v>5.7288978761413256</v>
      </c>
      <c r="H83">
        <v>5.8218730691146607</v>
      </c>
      <c r="I83">
        <v>16.82772165171513</v>
      </c>
      <c r="J83">
        <v>0.14942703965178619</v>
      </c>
      <c r="K83">
        <v>7.1469586461472616</v>
      </c>
      <c r="L83">
        <v>7.4918612658861834</v>
      </c>
      <c r="M83">
        <v>0.6499970392594201</v>
      </c>
      <c r="N83">
        <v>0.37948630474928463</v>
      </c>
      <c r="O83">
        <v>15.546183397360949</v>
      </c>
      <c r="P83" s="3">
        <v>45.849718997338435</v>
      </c>
      <c r="Q83" s="3">
        <v>5.4763754543165559</v>
      </c>
    </row>
    <row r="84" spans="1:17" x14ac:dyDescent="0.3">
      <c r="A84" s="13">
        <v>10047</v>
      </c>
      <c r="B84" s="15" t="s">
        <v>160</v>
      </c>
      <c r="C84" s="15" t="s">
        <v>158</v>
      </c>
      <c r="D84" s="24">
        <v>1</v>
      </c>
      <c r="E84" s="1" t="s">
        <v>162</v>
      </c>
      <c r="F84">
        <v>0.33383888091127639</v>
      </c>
      <c r="G84">
        <v>3.4192474692338228</v>
      </c>
      <c r="H84">
        <v>5.2343931503221821</v>
      </c>
      <c r="I84">
        <v>19.707131801008604</v>
      </c>
      <c r="J84">
        <v>9.1316524231647128E-2</v>
      </c>
      <c r="K84">
        <v>8.683554755068922</v>
      </c>
      <c r="L84">
        <v>5.6518601389845369</v>
      </c>
      <c r="M84">
        <v>0.51315555731007012</v>
      </c>
      <c r="N84">
        <v>0.21684931699959123</v>
      </c>
      <c r="O84">
        <v>14.854378236178386</v>
      </c>
      <c r="P84" s="3">
        <v>34.59303797874685</v>
      </c>
      <c r="Q84" s="3">
        <v>4.8410178974987614</v>
      </c>
    </row>
    <row r="85" spans="1:17" x14ac:dyDescent="0.3">
      <c r="A85" s="13">
        <v>10044</v>
      </c>
      <c r="B85" s="15" t="s">
        <v>160</v>
      </c>
      <c r="C85" s="15" t="s">
        <v>158</v>
      </c>
      <c r="D85" s="24">
        <v>1</v>
      </c>
      <c r="E85" s="1" t="s">
        <v>162</v>
      </c>
      <c r="F85">
        <v>0.35609480630536144</v>
      </c>
      <c r="G85">
        <v>3.7690117606192932</v>
      </c>
      <c r="H85">
        <v>6.1764780651425539</v>
      </c>
      <c r="I85">
        <v>19.637016294126457</v>
      </c>
      <c r="J85">
        <v>9.1316524231647128E-2</v>
      </c>
      <c r="K85">
        <v>8.704995631007364</v>
      </c>
      <c r="L85">
        <v>5.2802638201965824</v>
      </c>
      <c r="M85">
        <v>0.18473600063162429</v>
      </c>
      <c r="N85">
        <v>0.18587084314250674</v>
      </c>
      <c r="O85">
        <v>13.976018874227494</v>
      </c>
      <c r="P85" s="3">
        <v>38.257516723397671</v>
      </c>
      <c r="Q85" s="3">
        <v>1.5283611949560749</v>
      </c>
    </row>
    <row r="86" spans="1:17" x14ac:dyDescent="0.3">
      <c r="A86" s="13">
        <v>10062</v>
      </c>
      <c r="B86" s="15" t="s">
        <v>160</v>
      </c>
      <c r="C86" s="15" t="s">
        <v>158</v>
      </c>
      <c r="D86" s="24">
        <v>1</v>
      </c>
      <c r="E86" s="1" t="s">
        <v>162</v>
      </c>
      <c r="F86">
        <v>0.30416431371916292</v>
      </c>
      <c r="G86">
        <v>4.2695365224295356</v>
      </c>
      <c r="H86">
        <v>5.4090493423956216</v>
      </c>
      <c r="I86">
        <v>18.60398115939617</v>
      </c>
      <c r="J86">
        <v>6.6412017623016087E-2</v>
      </c>
      <c r="K86">
        <v>8.1975615671309097</v>
      </c>
      <c r="L86">
        <v>6.4370071996494094</v>
      </c>
      <c r="M86">
        <v>0.46526103862779666</v>
      </c>
      <c r="N86">
        <v>0.23233855392813343</v>
      </c>
      <c r="O86">
        <v>14.93988224486387</v>
      </c>
      <c r="P86" s="3">
        <v>39.636574003365084</v>
      </c>
      <c r="Q86" s="3">
        <v>4.2728257742254669</v>
      </c>
    </row>
    <row r="87" spans="1:17" x14ac:dyDescent="0.3">
      <c r="A87" s="13">
        <v>10017</v>
      </c>
      <c r="B87" s="15" t="s">
        <v>160</v>
      </c>
      <c r="C87" s="15" t="s">
        <v>158</v>
      </c>
      <c r="D87" s="24">
        <v>1</v>
      </c>
      <c r="E87" s="1" t="s">
        <v>162</v>
      </c>
      <c r="F87">
        <v>0.37835073169944655</v>
      </c>
      <c r="G87">
        <v>4.5288445315601429</v>
      </c>
      <c r="H87">
        <v>4.1176520434283699</v>
      </c>
      <c r="I87">
        <v>19.01999983356357</v>
      </c>
      <c r="J87">
        <v>0.24904506608631033</v>
      </c>
      <c r="K87">
        <v>7.6901275032544527</v>
      </c>
      <c r="L87">
        <v>7.1442389031490645</v>
      </c>
      <c r="M87">
        <v>0.51999763140753619</v>
      </c>
      <c r="N87">
        <v>0.21684931699959123</v>
      </c>
      <c r="O87">
        <v>15.149755720728244</v>
      </c>
      <c r="P87" s="3">
        <v>40.718381336460304</v>
      </c>
      <c r="Q87" s="3">
        <v>6.1502004841754392</v>
      </c>
    </row>
    <row r="88" spans="1:17" x14ac:dyDescent="0.3">
      <c r="A88" s="18">
        <v>12038</v>
      </c>
      <c r="B88" s="15" t="s">
        <v>160</v>
      </c>
      <c r="C88" s="15" t="s">
        <v>158</v>
      </c>
      <c r="D88" s="24">
        <v>1</v>
      </c>
      <c r="E88" s="1" t="s">
        <v>162</v>
      </c>
      <c r="F88">
        <v>0.4747930750738153</v>
      </c>
      <c r="G88">
        <v>4.1006847955537911</v>
      </c>
      <c r="H88">
        <v>6.7745432076970609</v>
      </c>
      <c r="I88">
        <v>22.016269160993961</v>
      </c>
      <c r="J88">
        <v>0</v>
      </c>
      <c r="K88">
        <v>8.147532856607878</v>
      </c>
      <c r="L88">
        <v>1.899936017028736</v>
      </c>
      <c r="M88">
        <v>0.21210429702149497</v>
      </c>
      <c r="N88">
        <v>0.18587084314250674</v>
      </c>
      <c r="O88">
        <v>13.525179555704025</v>
      </c>
      <c r="P88" s="3">
        <v>41.059621350567411</v>
      </c>
      <c r="Q88" s="3">
        <v>1.5987272177118965</v>
      </c>
    </row>
    <row r="89" spans="1:17" x14ac:dyDescent="0.3">
      <c r="A89" s="18">
        <v>12043</v>
      </c>
      <c r="B89" s="15" t="s">
        <v>160</v>
      </c>
      <c r="C89" s="15" t="s">
        <v>158</v>
      </c>
      <c r="D89" s="24">
        <v>1</v>
      </c>
      <c r="E89" s="1" t="s">
        <v>162</v>
      </c>
      <c r="F89">
        <v>0.20030332854676583</v>
      </c>
      <c r="G89">
        <v>4.7640308654227868</v>
      </c>
      <c r="H89">
        <v>5.5889981463500753</v>
      </c>
      <c r="I89">
        <v>22.020943528119435</v>
      </c>
      <c r="J89">
        <v>1.6603004405754022E-2</v>
      </c>
      <c r="K89">
        <v>7.9688588904541966</v>
      </c>
      <c r="L89">
        <v>2.0317927753083329</v>
      </c>
      <c r="M89">
        <v>0.32157748258097624</v>
      </c>
      <c r="N89">
        <v>0.1006800400355245</v>
      </c>
      <c r="O89">
        <v>15.173074995824285</v>
      </c>
      <c r="P89" s="3">
        <v>41.908505939385684</v>
      </c>
      <c r="Q89" s="3">
        <v>2.8992032435871833</v>
      </c>
    </row>
    <row r="90" spans="1:17" x14ac:dyDescent="0.3">
      <c r="A90" s="18">
        <v>12011</v>
      </c>
      <c r="B90" s="15" t="s">
        <v>160</v>
      </c>
      <c r="C90" s="15" t="s">
        <v>158</v>
      </c>
      <c r="D90" s="24">
        <v>1</v>
      </c>
      <c r="E90" s="1" t="s">
        <v>162</v>
      </c>
      <c r="F90">
        <v>0.24481517933493602</v>
      </c>
      <c r="G90">
        <v>5.7831716454942432</v>
      </c>
      <c r="H90">
        <v>5.3031971047753546</v>
      </c>
      <c r="I90">
        <v>21.777876437594664</v>
      </c>
      <c r="J90">
        <v>1.6603004405754022E-2</v>
      </c>
      <c r="K90">
        <v>7.5400413716853611</v>
      </c>
      <c r="L90">
        <v>1.9478839291304078</v>
      </c>
      <c r="M90">
        <v>0.46526103862779544</v>
      </c>
      <c r="N90">
        <v>0.21684931699959123</v>
      </c>
      <c r="O90">
        <v>15.009840070151995</v>
      </c>
      <c r="P90" s="3">
        <v>46.957368396014814</v>
      </c>
      <c r="Q90" s="3">
        <v>4.3543980283762878</v>
      </c>
    </row>
    <row r="91" spans="1:17" x14ac:dyDescent="0.3">
      <c r="A91" s="18">
        <v>12007</v>
      </c>
      <c r="B91" s="15" t="s">
        <v>160</v>
      </c>
      <c r="C91" s="15" t="s">
        <v>158</v>
      </c>
      <c r="D91" s="24">
        <v>1</v>
      </c>
      <c r="E91" s="1" t="s">
        <v>162</v>
      </c>
      <c r="F91">
        <v>0.29674567192113455</v>
      </c>
      <c r="G91">
        <v>3.4192474692338228</v>
      </c>
      <c r="H91">
        <v>6.4199382116691677</v>
      </c>
      <c r="I91">
        <v>22.450985303663266</v>
      </c>
      <c r="J91">
        <v>3.3206008811508043E-2</v>
      </c>
      <c r="K91">
        <v>8.6263790858997442</v>
      </c>
      <c r="L91">
        <v>2.2895128028548175</v>
      </c>
      <c r="M91">
        <v>0.1642097783392219</v>
      </c>
      <c r="N91">
        <v>0.17038160621396453</v>
      </c>
      <c r="O91">
        <v>13.874968682144647</v>
      </c>
      <c r="P91" s="3">
        <v>36.152114906214145</v>
      </c>
      <c r="Q91" s="3">
        <v>1.3099232667875991</v>
      </c>
    </row>
    <row r="92" spans="1:17" x14ac:dyDescent="0.3">
      <c r="A92" s="18">
        <v>12021</v>
      </c>
      <c r="B92" s="15" t="s">
        <v>160</v>
      </c>
      <c r="C92" s="15" t="s">
        <v>158</v>
      </c>
      <c r="D92" s="24">
        <v>1</v>
      </c>
      <c r="E92" s="1" t="s">
        <v>162</v>
      </c>
      <c r="F92">
        <v>0.21514061214282254</v>
      </c>
      <c r="G92">
        <v>3.4373387256847954</v>
      </c>
      <c r="H92">
        <v>6.6157648512666603</v>
      </c>
      <c r="I92">
        <v>21.595576119701082</v>
      </c>
      <c r="J92">
        <v>3.3206008811508043E-2</v>
      </c>
      <c r="K92">
        <v>8.0975041460848463</v>
      </c>
      <c r="L92">
        <v>2.3374607149564892</v>
      </c>
      <c r="M92">
        <v>0.17789392653415709</v>
      </c>
      <c r="N92">
        <v>0.18587084314250674</v>
      </c>
      <c r="O92">
        <v>15.07979789544012</v>
      </c>
      <c r="P92" s="3">
        <v>34.371992005428197</v>
      </c>
      <c r="Q92" s="3">
        <v>1.376154504210183</v>
      </c>
    </row>
    <row r="93" spans="1:17" x14ac:dyDescent="0.3">
      <c r="A93" s="18">
        <v>12051</v>
      </c>
      <c r="B93" s="15" t="s">
        <v>160</v>
      </c>
      <c r="C93" s="15" t="s">
        <v>158</v>
      </c>
      <c r="D93" s="24">
        <v>1</v>
      </c>
      <c r="E93" s="1" t="s">
        <v>162</v>
      </c>
      <c r="F93">
        <v>0.22997789573887928</v>
      </c>
      <c r="G93">
        <v>4.1127456331877728</v>
      </c>
      <c r="H93">
        <v>5.2661488216082608</v>
      </c>
      <c r="I93">
        <v>21.287067889419639</v>
      </c>
      <c r="J93">
        <v>3.3206008811508043E-2</v>
      </c>
      <c r="K93">
        <v>8.0975041460848463</v>
      </c>
      <c r="L93">
        <v>2.840913792024041</v>
      </c>
      <c r="M93">
        <v>0.24631466750883285</v>
      </c>
      <c r="N93">
        <v>0.21684931699959123</v>
      </c>
      <c r="O93">
        <v>15.693872139635879</v>
      </c>
      <c r="P93" s="3">
        <v>37.583100291395233</v>
      </c>
      <c r="Q93" s="3">
        <v>2.3696606004619083</v>
      </c>
    </row>
    <row r="94" spans="1:17" x14ac:dyDescent="0.3">
      <c r="A94" s="18">
        <v>12051</v>
      </c>
      <c r="B94" s="15" t="s">
        <v>160</v>
      </c>
      <c r="C94" s="15" t="s">
        <v>158</v>
      </c>
      <c r="D94" s="24">
        <v>1</v>
      </c>
      <c r="E94" s="1" t="s">
        <v>162</v>
      </c>
      <c r="F94">
        <v>0.22997789573887928</v>
      </c>
      <c r="G94">
        <v>4.1127456331877728</v>
      </c>
      <c r="H94">
        <v>5.2661488216082608</v>
      </c>
      <c r="I94">
        <v>21.287067889419639</v>
      </c>
      <c r="J94">
        <v>3.3206008811508043E-2</v>
      </c>
      <c r="K94">
        <v>8.0975041460848463</v>
      </c>
      <c r="L94">
        <v>2.840913792024041</v>
      </c>
      <c r="M94">
        <v>0.24631466750883285</v>
      </c>
      <c r="N94">
        <v>0.21684931699959123</v>
      </c>
      <c r="O94">
        <v>15.693872139635879</v>
      </c>
      <c r="P94" s="3">
        <v>37.583100291395233</v>
      </c>
      <c r="Q94" s="3">
        <v>2.3696606004619083</v>
      </c>
    </row>
    <row r="95" spans="1:17" x14ac:dyDescent="0.3">
      <c r="A95" s="18">
        <v>12072</v>
      </c>
      <c r="B95" s="15" t="s">
        <v>160</v>
      </c>
      <c r="C95" s="15" t="s">
        <v>158</v>
      </c>
      <c r="D95" s="24">
        <v>1</v>
      </c>
      <c r="E95" s="1" t="s">
        <v>162</v>
      </c>
      <c r="F95">
        <v>0.27448974652704944</v>
      </c>
      <c r="G95">
        <v>5.1680689261611752</v>
      </c>
      <c r="H95">
        <v>6.1606002294995141</v>
      </c>
      <c r="I95">
        <v>22.502403342043507</v>
      </c>
      <c r="J95">
        <v>3.3206008811508043E-2</v>
      </c>
      <c r="K95">
        <v>8.1332389393155839</v>
      </c>
      <c r="L95">
        <v>1.0848215113003195</v>
      </c>
      <c r="M95">
        <v>0.27368296389870322</v>
      </c>
      <c r="N95">
        <v>0.14714775082114814</v>
      </c>
      <c r="O95">
        <v>13.571818105896108</v>
      </c>
      <c r="P95" s="3">
        <v>46.664998043217643</v>
      </c>
      <c r="Q95" s="3">
        <v>2.2533609966264234</v>
      </c>
    </row>
    <row r="96" spans="1:17" x14ac:dyDescent="0.3">
      <c r="A96" s="18">
        <v>12018</v>
      </c>
      <c r="B96" s="15" t="s">
        <v>160</v>
      </c>
      <c r="C96" s="15" t="s">
        <v>158</v>
      </c>
      <c r="D96" s="24">
        <v>1</v>
      </c>
      <c r="E96" s="1" t="s">
        <v>162</v>
      </c>
      <c r="F96">
        <v>0.19288468674873746</v>
      </c>
      <c r="G96">
        <v>9.1059324136562125</v>
      </c>
      <c r="H96">
        <v>4.3822826374790358</v>
      </c>
      <c r="I96">
        <v>20.380240667077214</v>
      </c>
      <c r="J96">
        <v>3.3206008811508043E-2</v>
      </c>
      <c r="K96">
        <v>6.1035026838097606</v>
      </c>
      <c r="L96">
        <v>1.5583071433043263</v>
      </c>
      <c r="M96">
        <v>0.47210311272526295</v>
      </c>
      <c r="N96">
        <v>0.21684931699959123</v>
      </c>
      <c r="O96">
        <v>16.012568899281778</v>
      </c>
      <c r="P96" s="3">
        <v>56.646678921509753</v>
      </c>
      <c r="Q96" s="3">
        <v>5.2943952967786849</v>
      </c>
    </row>
    <row r="97" spans="1:17" x14ac:dyDescent="0.3">
      <c r="A97" s="18">
        <v>12040</v>
      </c>
      <c r="B97" s="15" t="s">
        <v>160</v>
      </c>
      <c r="C97" s="15" t="s">
        <v>158</v>
      </c>
      <c r="D97" s="24">
        <v>1</v>
      </c>
      <c r="E97" s="1" t="s">
        <v>162</v>
      </c>
      <c r="F97">
        <v>0.14837283596056727</v>
      </c>
      <c r="G97">
        <v>9.7089742953553007</v>
      </c>
      <c r="H97">
        <v>3.9218254038308764</v>
      </c>
      <c r="I97">
        <v>20.515797313716028</v>
      </c>
      <c r="J97">
        <v>3.3206008811508043E-2</v>
      </c>
      <c r="K97">
        <v>5.6246564545178943</v>
      </c>
      <c r="L97">
        <v>1.6242355224441245</v>
      </c>
      <c r="M97">
        <v>0.47894518682273057</v>
      </c>
      <c r="N97">
        <v>0.201360080071049</v>
      </c>
      <c r="O97">
        <v>16.191350008351428</v>
      </c>
      <c r="P97" s="3">
        <v>57.943913136018345</v>
      </c>
      <c r="Q97" s="3">
        <v>5.9595886040443569</v>
      </c>
    </row>
    <row r="98" spans="1:17" x14ac:dyDescent="0.3">
      <c r="A98" s="18">
        <v>12040</v>
      </c>
      <c r="B98" s="15" t="s">
        <v>160</v>
      </c>
      <c r="C98" s="15" t="s">
        <v>158</v>
      </c>
      <c r="D98" s="24">
        <v>1</v>
      </c>
      <c r="E98" s="1" t="s">
        <v>162</v>
      </c>
      <c r="F98">
        <v>0.1409541941625389</v>
      </c>
      <c r="G98">
        <v>9.7753089023422</v>
      </c>
      <c r="H98">
        <v>3.8000953305675695</v>
      </c>
      <c r="I98">
        <v>20.60461028910008</v>
      </c>
      <c r="J98">
        <v>3.3206008811508043E-2</v>
      </c>
      <c r="K98">
        <v>5.7890365033792817</v>
      </c>
      <c r="L98">
        <v>1.4444308520628564</v>
      </c>
      <c r="M98">
        <v>0.37631407536071693</v>
      </c>
      <c r="N98">
        <v>0.21684931699959123</v>
      </c>
      <c r="O98">
        <v>16.53336604309337</v>
      </c>
      <c r="P98" s="3">
        <v>57.600070414464255</v>
      </c>
      <c r="Q98" s="3">
        <v>4.8876177500310574</v>
      </c>
    </row>
    <row r="99" spans="1:17" x14ac:dyDescent="0.3">
      <c r="A99" s="18">
        <v>12005</v>
      </c>
      <c r="B99" s="15" t="s">
        <v>160</v>
      </c>
      <c r="C99" s="15" t="s">
        <v>158</v>
      </c>
      <c r="D99" s="24">
        <v>1</v>
      </c>
      <c r="E99" s="1" t="s">
        <v>162</v>
      </c>
      <c r="F99">
        <v>0.11869826876845382</v>
      </c>
      <c r="G99">
        <v>12.042746377530765</v>
      </c>
      <c r="H99">
        <v>2.8050842969370637</v>
      </c>
      <c r="I99">
        <v>19.426669773480022</v>
      </c>
      <c r="J99">
        <v>3.3206008811508043E-2</v>
      </c>
      <c r="K99">
        <v>4.5097309057189214</v>
      </c>
      <c r="L99">
        <v>1.6542029675076693</v>
      </c>
      <c r="M99">
        <v>0.51315555731006846</v>
      </c>
      <c r="N99">
        <v>0.23233855392813343</v>
      </c>
      <c r="O99">
        <v>17.310675212961417</v>
      </c>
      <c r="P99" s="3">
        <v>61.515581332438437</v>
      </c>
      <c r="Q99" s="3">
        <v>8.6700306781383887</v>
      </c>
    </row>
    <row r="100" spans="1:17" x14ac:dyDescent="0.3">
      <c r="A100" s="18">
        <v>12020</v>
      </c>
      <c r="B100" s="15" t="s">
        <v>160</v>
      </c>
      <c r="C100" s="15" t="s">
        <v>158</v>
      </c>
      <c r="D100" s="24">
        <v>1</v>
      </c>
      <c r="E100" s="1" t="s">
        <v>162</v>
      </c>
      <c r="F100">
        <v>0.12900208135013441</v>
      </c>
      <c r="G100">
        <v>9.4410053143434958</v>
      </c>
      <c r="H100">
        <v>3.8102450614320458</v>
      </c>
      <c r="I100">
        <v>20.502626518596113</v>
      </c>
      <c r="J100">
        <v>3.8000073255010952E-2</v>
      </c>
      <c r="K100">
        <v>5.8000208509991111</v>
      </c>
      <c r="L100">
        <v>1.5798676810559746</v>
      </c>
      <c r="M100">
        <v>0.45601177034886831</v>
      </c>
      <c r="N100">
        <v>0.21700127729636029</v>
      </c>
      <c r="O100">
        <v>16.399901293147956</v>
      </c>
      <c r="P100" s="3">
        <v>56.946901027755111</v>
      </c>
      <c r="Q100" s="3">
        <v>5.8473602032590462</v>
      </c>
    </row>
    <row r="101" spans="1:17" x14ac:dyDescent="0.3">
      <c r="A101" s="18">
        <v>12065</v>
      </c>
      <c r="B101" s="15" t="s">
        <v>160</v>
      </c>
      <c r="C101" s="15" t="s">
        <v>158</v>
      </c>
      <c r="D101" s="24">
        <v>1</v>
      </c>
      <c r="E101" s="1" t="s">
        <v>162</v>
      </c>
      <c r="F101">
        <v>0.30000484034915026</v>
      </c>
      <c r="G101">
        <v>7.0007454661445516</v>
      </c>
      <c r="H101">
        <v>7.4004759723352125</v>
      </c>
      <c r="I101">
        <v>18.102319023736055</v>
      </c>
      <c r="J101">
        <v>4.1000079038301308E-2</v>
      </c>
      <c r="K101">
        <v>6.9000248054989379</v>
      </c>
      <c r="L101">
        <v>2.4997906345822383</v>
      </c>
      <c r="M101">
        <v>0.40001032486742877</v>
      </c>
      <c r="N101">
        <v>0.31000182470908627</v>
      </c>
      <c r="O101">
        <v>17.099897080050667</v>
      </c>
      <c r="P101" s="3">
        <v>48.471528862196045</v>
      </c>
      <c r="Q101" s="3">
        <v>2.7283619284605036</v>
      </c>
    </row>
    <row r="102" spans="1:17" x14ac:dyDescent="0.3">
      <c r="A102" s="18">
        <v>12004</v>
      </c>
      <c r="B102" s="15" t="s">
        <v>160</v>
      </c>
      <c r="C102" s="15" t="s">
        <v>158</v>
      </c>
      <c r="D102" s="24">
        <v>1</v>
      </c>
      <c r="E102" s="1" t="s">
        <v>162</v>
      </c>
      <c r="F102">
        <v>0.14700237177108369</v>
      </c>
      <c r="G102">
        <v>7.4907976487746897</v>
      </c>
      <c r="H102">
        <v>4.6202971611065768</v>
      </c>
      <c r="I102">
        <v>21.502754641454441</v>
      </c>
      <c r="J102">
        <v>4.1000079038301308E-2</v>
      </c>
      <c r="K102">
        <v>5.900021210499097</v>
      </c>
      <c r="L102">
        <v>1.5298718683643289</v>
      </c>
      <c r="M102">
        <v>0.41001058298911391</v>
      </c>
      <c r="N102">
        <v>0.19900117134551015</v>
      </c>
      <c r="O102">
        <v>16.399901293147956</v>
      </c>
      <c r="P102" s="3">
        <v>51.207212249050684</v>
      </c>
      <c r="Q102" s="3">
        <v>4.4022725732163277</v>
      </c>
    </row>
    <row r="103" spans="1:17" x14ac:dyDescent="0.3">
      <c r="A103" s="18">
        <v>12018</v>
      </c>
      <c r="B103" s="15" t="s">
        <v>160</v>
      </c>
      <c r="C103" s="15" t="s">
        <v>158</v>
      </c>
      <c r="D103" s="24">
        <v>1</v>
      </c>
      <c r="E103" s="1" t="s">
        <v>162</v>
      </c>
      <c r="F103">
        <v>0.1430023072330949</v>
      </c>
      <c r="G103">
        <v>8.6909254429708831</v>
      </c>
      <c r="H103">
        <v>4.2202714328722433</v>
      </c>
      <c r="I103">
        <v>21.102703392311128</v>
      </c>
      <c r="J103">
        <v>4.1000079038301308E-2</v>
      </c>
      <c r="K103">
        <v>4.4000158179993214</v>
      </c>
      <c r="L103">
        <v>1.5898668435943049</v>
      </c>
      <c r="M103">
        <v>0.37300962793887699</v>
      </c>
      <c r="N103">
        <v>0.19800116545935179</v>
      </c>
      <c r="O103">
        <v>16.499900691276949</v>
      </c>
      <c r="P103" s="3">
        <v>54.756150749149867</v>
      </c>
      <c r="Q103" s="3">
        <v>4.3853890004360778</v>
      </c>
    </row>
    <row r="104" spans="1:17" x14ac:dyDescent="0.3">
      <c r="A104" s="18">
        <v>12031</v>
      </c>
      <c r="B104" s="15" t="s">
        <v>160</v>
      </c>
      <c r="C104" s="15" t="s">
        <v>158</v>
      </c>
      <c r="D104" s="24">
        <v>1</v>
      </c>
      <c r="E104" s="1" t="s">
        <v>162</v>
      </c>
      <c r="F104">
        <v>0.24481517933493602</v>
      </c>
      <c r="G104">
        <v>4.2996886165144899</v>
      </c>
      <c r="H104">
        <v>6.6845688057198336</v>
      </c>
      <c r="I104">
        <v>21.955502388362767</v>
      </c>
      <c r="J104">
        <v>4.150751101438506E-2</v>
      </c>
      <c r="K104">
        <v>8.7550243415303957</v>
      </c>
      <c r="L104">
        <v>1.7261248356601766</v>
      </c>
      <c r="M104">
        <v>0.23947259341136529</v>
      </c>
      <c r="N104">
        <v>0.201360080071049</v>
      </c>
      <c r="O104">
        <v>13.043247870385837</v>
      </c>
      <c r="P104" s="3">
        <v>43.098583984146586</v>
      </c>
      <c r="Q104" s="3">
        <v>1.8251017530532359</v>
      </c>
    </row>
    <row r="105" spans="1:17" x14ac:dyDescent="0.3">
      <c r="A105" s="18">
        <v>12021</v>
      </c>
      <c r="B105" s="15" t="s">
        <v>160</v>
      </c>
      <c r="C105" s="15" t="s">
        <v>158</v>
      </c>
      <c r="D105" s="24">
        <v>1</v>
      </c>
      <c r="E105" s="1" t="s">
        <v>162</v>
      </c>
      <c r="F105">
        <v>0.22255925394085091</v>
      </c>
      <c r="G105">
        <v>4.450449086939261</v>
      </c>
      <c r="H105">
        <v>5.8747991879247943</v>
      </c>
      <c r="I105">
        <v>21.829294475974905</v>
      </c>
      <c r="J105">
        <v>4.150751101438506E-2</v>
      </c>
      <c r="K105">
        <v>8.2190024430693498</v>
      </c>
      <c r="L105">
        <v>2.0677537093845868</v>
      </c>
      <c r="M105">
        <v>0.25999881570376804</v>
      </c>
      <c r="N105">
        <v>0.2091046985353201</v>
      </c>
      <c r="O105">
        <v>14.846605144479707</v>
      </c>
      <c r="P105" s="3">
        <v>40.784811795112034</v>
      </c>
      <c r="Q105" s="3">
        <v>2.2450261819421256</v>
      </c>
    </row>
    <row r="106" spans="1:17" x14ac:dyDescent="0.3">
      <c r="A106" s="18">
        <v>12015</v>
      </c>
      <c r="B106" s="15" t="s">
        <v>160</v>
      </c>
      <c r="C106" s="15" t="s">
        <v>158</v>
      </c>
      <c r="D106" s="24">
        <v>1</v>
      </c>
      <c r="E106" s="1" t="s">
        <v>162</v>
      </c>
      <c r="F106">
        <v>0.16321011955662401</v>
      </c>
      <c r="G106">
        <v>6.6455215363239377</v>
      </c>
      <c r="H106">
        <v>5.0703221820107682</v>
      </c>
      <c r="I106">
        <v>22.025617895244913</v>
      </c>
      <c r="J106">
        <v>4.150751101438506E-2</v>
      </c>
      <c r="K106">
        <v>7.2255751912548805</v>
      </c>
      <c r="L106">
        <v>1.8579815939397735</v>
      </c>
      <c r="M106">
        <v>0.51315555731006846</v>
      </c>
      <c r="N106">
        <v>0.2091046985353201</v>
      </c>
      <c r="O106">
        <v>14.131480708201103</v>
      </c>
      <c r="P106" s="3">
        <v>51.934935644885392</v>
      </c>
      <c r="Q106" s="3">
        <v>4.9898521418930901</v>
      </c>
    </row>
    <row r="107" spans="1:17" x14ac:dyDescent="0.3">
      <c r="A107" s="18">
        <v>12015</v>
      </c>
      <c r="B107" s="15" t="s">
        <v>160</v>
      </c>
      <c r="C107" s="15" t="s">
        <v>158</v>
      </c>
      <c r="D107" s="24">
        <v>1</v>
      </c>
      <c r="E107" s="1" t="s">
        <v>162</v>
      </c>
      <c r="F107">
        <v>0.16321011955662401</v>
      </c>
      <c r="G107">
        <v>6.8987991266375541</v>
      </c>
      <c r="H107">
        <v>4.900958601818342</v>
      </c>
      <c r="I107">
        <v>21.969525489739194</v>
      </c>
      <c r="J107">
        <v>4.150751101438506E-2</v>
      </c>
      <c r="K107">
        <v>7.1612525634395556</v>
      </c>
      <c r="L107">
        <v>1.7381118136855946</v>
      </c>
      <c r="M107">
        <v>0.46526103862779544</v>
      </c>
      <c r="N107">
        <v>0.2091046985353201</v>
      </c>
      <c r="O107">
        <v>14.147026891598463</v>
      </c>
      <c r="P107" s="3">
        <v>52.84045776823276</v>
      </c>
      <c r="Q107" s="3">
        <v>4.6949994204170915</v>
      </c>
    </row>
    <row r="108" spans="1:17" x14ac:dyDescent="0.3">
      <c r="A108" s="18">
        <v>12008</v>
      </c>
      <c r="B108" s="15" t="s">
        <v>160</v>
      </c>
      <c r="C108" s="15" t="s">
        <v>158</v>
      </c>
      <c r="D108" s="24">
        <v>1</v>
      </c>
      <c r="E108" s="1" t="s">
        <v>162</v>
      </c>
      <c r="F108">
        <v>0.18546604495070909</v>
      </c>
      <c r="G108">
        <v>7.4355064013497412</v>
      </c>
      <c r="H108">
        <v>4.2235042810486361</v>
      </c>
      <c r="I108">
        <v>19.982919461411715</v>
      </c>
      <c r="J108">
        <v>4.150751101438506E-2</v>
      </c>
      <c r="K108">
        <v>6.4108219055940934</v>
      </c>
      <c r="L108">
        <v>2.6671026106554816</v>
      </c>
      <c r="M108">
        <v>0.41736651994552237</v>
      </c>
      <c r="N108">
        <v>0.23233855392813343</v>
      </c>
      <c r="O108">
        <v>17.054163186904962</v>
      </c>
      <c r="P108" s="3">
        <v>50.044256099695886</v>
      </c>
      <c r="Q108" s="3">
        <v>4.8778723193703417</v>
      </c>
    </row>
    <row r="109" spans="1:17" x14ac:dyDescent="0.3">
      <c r="A109" s="18">
        <v>12075</v>
      </c>
      <c r="B109" s="15" t="s">
        <v>160</v>
      </c>
      <c r="C109" s="15" t="s">
        <v>158</v>
      </c>
      <c r="D109" s="24">
        <v>1</v>
      </c>
      <c r="E109" s="1" t="s">
        <v>162</v>
      </c>
      <c r="F109">
        <v>0.22255925394085091</v>
      </c>
      <c r="G109">
        <v>8.0325178642318384</v>
      </c>
      <c r="H109">
        <v>4.7210097978638892</v>
      </c>
      <c r="I109">
        <v>21.062698267396769</v>
      </c>
      <c r="J109">
        <v>4.150751101438506E-2</v>
      </c>
      <c r="K109">
        <v>6.1749722702712342</v>
      </c>
      <c r="L109">
        <v>1.7021508796093408</v>
      </c>
      <c r="M109">
        <v>0.25999881570376104</v>
      </c>
      <c r="N109">
        <v>0.201360080071049</v>
      </c>
      <c r="O109">
        <v>15.724964506430601</v>
      </c>
      <c r="P109" s="3">
        <v>53.995125011848934</v>
      </c>
      <c r="Q109" s="3">
        <v>2.7784538925731574</v>
      </c>
    </row>
    <row r="110" spans="1:17" x14ac:dyDescent="0.3">
      <c r="A110" s="18">
        <v>12006</v>
      </c>
      <c r="B110" s="15" t="s">
        <v>160</v>
      </c>
      <c r="C110" s="15" t="s">
        <v>158</v>
      </c>
      <c r="D110" s="24">
        <v>1</v>
      </c>
      <c r="E110" s="1" t="s">
        <v>162</v>
      </c>
      <c r="F110">
        <v>0.14837283596056727</v>
      </c>
      <c r="G110">
        <v>8.8466244045256044</v>
      </c>
      <c r="H110">
        <v>4.0594333127372231</v>
      </c>
      <c r="I110">
        <v>20.674725795982226</v>
      </c>
      <c r="J110">
        <v>4.150751101438506E-2</v>
      </c>
      <c r="K110">
        <v>5.8104773793177236</v>
      </c>
      <c r="L110">
        <v>1.5523136542916172</v>
      </c>
      <c r="M110">
        <v>0.62262874286954983</v>
      </c>
      <c r="N110">
        <v>0.2245939354638623</v>
      </c>
      <c r="O110">
        <v>16.276854017036914</v>
      </c>
      <c r="P110" s="3">
        <v>55.53200412468987</v>
      </c>
      <c r="Q110" s="3">
        <v>7.3723917935585277</v>
      </c>
    </row>
    <row r="111" spans="1:17" x14ac:dyDescent="0.3">
      <c r="A111" s="18">
        <v>12018</v>
      </c>
      <c r="B111" s="15" t="s">
        <v>160</v>
      </c>
      <c r="C111" s="15" t="s">
        <v>158</v>
      </c>
      <c r="D111" s="24">
        <v>1</v>
      </c>
      <c r="E111" s="1" t="s">
        <v>162</v>
      </c>
      <c r="F111">
        <v>0.14837283596056727</v>
      </c>
      <c r="G111">
        <v>9.3712708416038097</v>
      </c>
      <c r="H111">
        <v>4.3399417424309288</v>
      </c>
      <c r="I111">
        <v>20.515797313716028</v>
      </c>
      <c r="J111">
        <v>4.150751101438506E-2</v>
      </c>
      <c r="K111">
        <v>5.8676530484869023</v>
      </c>
      <c r="L111">
        <v>1.5343331872534904</v>
      </c>
      <c r="M111">
        <v>0.45157689043286031</v>
      </c>
      <c r="N111">
        <v>0.19361546160677787</v>
      </c>
      <c r="O111">
        <v>15.981476532487054</v>
      </c>
      <c r="P111" s="3">
        <v>57.398196293672427</v>
      </c>
      <c r="Q111" s="3">
        <v>5.1228724125593832</v>
      </c>
    </row>
    <row r="112" spans="1:17" x14ac:dyDescent="0.3">
      <c r="A112" s="18">
        <v>12040</v>
      </c>
      <c r="B112" s="15" t="s">
        <v>160</v>
      </c>
      <c r="C112" s="15" t="s">
        <v>158</v>
      </c>
      <c r="D112" s="24">
        <v>1</v>
      </c>
      <c r="E112" s="1" t="s">
        <v>162</v>
      </c>
      <c r="F112">
        <v>0.11869826876845382</v>
      </c>
      <c r="G112">
        <v>10.064769005557761</v>
      </c>
      <c r="H112">
        <v>3.8900697325447959</v>
      </c>
      <c r="I112">
        <v>20.417635604081024</v>
      </c>
      <c r="J112">
        <v>4.150751101438506E-2</v>
      </c>
      <c r="K112">
        <v>5.6532442891024841</v>
      </c>
      <c r="L112">
        <v>1.4863852751518187</v>
      </c>
      <c r="M112">
        <v>0.47894518682273057</v>
      </c>
      <c r="N112">
        <v>0.201360080071049</v>
      </c>
      <c r="O112">
        <v>15.623914314347754</v>
      </c>
      <c r="P112" s="3">
        <v>59.679686521525753</v>
      </c>
      <c r="Q112" s="3">
        <v>6.0053167381837751</v>
      </c>
    </row>
    <row r="113" spans="1:17" x14ac:dyDescent="0.3">
      <c r="A113" s="18">
        <v>12064</v>
      </c>
      <c r="B113" s="15" t="s">
        <v>160</v>
      </c>
      <c r="C113" s="15" t="s">
        <v>158</v>
      </c>
      <c r="D113" s="24">
        <v>1</v>
      </c>
      <c r="E113" s="1" t="s">
        <v>162</v>
      </c>
      <c r="F113">
        <v>0.21200342051339943</v>
      </c>
      <c r="G113">
        <v>4.5004792282357764</v>
      </c>
      <c r="H113">
        <v>5.5003537632221295</v>
      </c>
      <c r="I113">
        <v>21.502754641454441</v>
      </c>
      <c r="J113">
        <v>4.2000080966064703E-2</v>
      </c>
      <c r="K113">
        <v>8.4000301979987437</v>
      </c>
      <c r="L113">
        <v>2.1998157584323703</v>
      </c>
      <c r="M113">
        <v>0.26700689184900889</v>
      </c>
      <c r="N113">
        <v>0.20000117723166855</v>
      </c>
      <c r="O113">
        <v>14.599912126826874</v>
      </c>
      <c r="P113" s="3">
        <v>41.46115179510582</v>
      </c>
      <c r="Q113" s="3">
        <v>2.4571490218025893</v>
      </c>
    </row>
    <row r="114" spans="1:17" x14ac:dyDescent="0.3">
      <c r="A114" s="18">
        <v>12035</v>
      </c>
      <c r="B114" s="15" t="s">
        <v>160</v>
      </c>
      <c r="C114" s="15" t="s">
        <v>158</v>
      </c>
      <c r="D114" s="24">
        <v>1</v>
      </c>
      <c r="E114" s="1" t="s">
        <v>162</v>
      </c>
      <c r="F114">
        <v>0.15579147775859564</v>
      </c>
      <c r="G114">
        <v>9.3411187475188555</v>
      </c>
      <c r="H114">
        <v>4.2499673404537024</v>
      </c>
      <c r="I114">
        <v>20.179242880681727</v>
      </c>
      <c r="J114">
        <v>4.4828111895535858E-2</v>
      </c>
      <c r="K114">
        <v>5.7747425860869868</v>
      </c>
      <c r="L114">
        <v>1.3665154948976397</v>
      </c>
      <c r="M114">
        <v>0.33526163077591142</v>
      </c>
      <c r="N114">
        <v>0.2245939354638623</v>
      </c>
      <c r="O114">
        <v>17.256263571070651</v>
      </c>
      <c r="P114" s="3">
        <v>55.432193095284582</v>
      </c>
      <c r="Q114" s="3">
        <v>3.9325889128660245</v>
      </c>
    </row>
    <row r="115" spans="1:17" x14ac:dyDescent="0.3">
      <c r="A115" s="18">
        <v>12004</v>
      </c>
      <c r="B115" s="15" t="s">
        <v>160</v>
      </c>
      <c r="C115" s="15" t="s">
        <v>158</v>
      </c>
      <c r="D115" s="24">
        <v>1</v>
      </c>
      <c r="E115" s="1" t="s">
        <v>162</v>
      </c>
      <c r="F115">
        <v>0.16914503299504668</v>
      </c>
      <c r="G115">
        <v>6.5731565105200476</v>
      </c>
      <c r="H115">
        <v>4.4987200988613294</v>
      </c>
      <c r="I115">
        <v>20.707446365860559</v>
      </c>
      <c r="J115">
        <v>4.5658262115823564E-2</v>
      </c>
      <c r="K115">
        <v>7.0397542664550521</v>
      </c>
      <c r="L115">
        <v>1.9478839291304078</v>
      </c>
      <c r="M115">
        <v>0.48441884610070463</v>
      </c>
      <c r="N115">
        <v>0.20252177284068965</v>
      </c>
      <c r="O115">
        <v>16.71214715216302</v>
      </c>
      <c r="P115" s="3">
        <v>47.471065731122678</v>
      </c>
      <c r="Q115" s="3">
        <v>5.2920356666566422</v>
      </c>
    </row>
    <row r="116" spans="1:17" x14ac:dyDescent="0.3">
      <c r="A116" s="18">
        <v>12012</v>
      </c>
      <c r="B116" s="15" t="s">
        <v>160</v>
      </c>
      <c r="C116" s="15" t="s">
        <v>158</v>
      </c>
      <c r="D116" s="24">
        <v>1</v>
      </c>
      <c r="E116" s="1" t="s">
        <v>162</v>
      </c>
      <c r="F116">
        <v>0.39318801529550329</v>
      </c>
      <c r="G116">
        <v>10.553232929734021</v>
      </c>
      <c r="H116">
        <v>5.8218730691146607</v>
      </c>
      <c r="I116">
        <v>16.360284939167485</v>
      </c>
      <c r="J116">
        <v>4.5658262115823564E-2</v>
      </c>
      <c r="K116">
        <v>6.6466715409169534</v>
      </c>
      <c r="L116">
        <v>1.8579815939397735</v>
      </c>
      <c r="M116">
        <v>0.389998223555652</v>
      </c>
      <c r="N116">
        <v>0.13165851389260896</v>
      </c>
      <c r="O116">
        <v>17.878110906965091</v>
      </c>
      <c r="P116" s="3">
        <v>57.560402552441055</v>
      </c>
      <c r="Q116" s="3">
        <v>3.3594149427226965</v>
      </c>
    </row>
    <row r="117" spans="1:17" x14ac:dyDescent="0.3">
      <c r="A117" s="18">
        <v>12009</v>
      </c>
      <c r="B117" s="15" t="s">
        <v>160</v>
      </c>
      <c r="C117" s="15" t="s">
        <v>158</v>
      </c>
      <c r="D117" s="24">
        <v>1</v>
      </c>
      <c r="E117" s="1" t="s">
        <v>162</v>
      </c>
      <c r="F117">
        <v>0.16500266219203297</v>
      </c>
      <c r="G117">
        <v>6.4006815690464247</v>
      </c>
      <c r="H117">
        <v>5.0003216029291986</v>
      </c>
      <c r="I117">
        <v>21.302729016882783</v>
      </c>
      <c r="J117">
        <v>4.7000090604881931E-2</v>
      </c>
      <c r="K117">
        <v>7.0000251649989238</v>
      </c>
      <c r="L117">
        <v>1.8998408822825028</v>
      </c>
      <c r="M117">
        <v>0.42201089273513726</v>
      </c>
      <c r="N117">
        <v>0.2030011948901437</v>
      </c>
      <c r="O117">
        <v>15.599906108116407</v>
      </c>
      <c r="P117" s="3">
        <v>48.526364155064066</v>
      </c>
      <c r="Q117" s="3">
        <v>4.1957971894095634</v>
      </c>
    </row>
    <row r="118" spans="1:17" x14ac:dyDescent="0.3">
      <c r="A118" s="18">
        <v>12038</v>
      </c>
      <c r="B118" s="15" t="s">
        <v>160</v>
      </c>
      <c r="C118" s="15" t="s">
        <v>158</v>
      </c>
      <c r="D118" s="24">
        <v>1</v>
      </c>
      <c r="E118" s="1" t="s">
        <v>162</v>
      </c>
      <c r="F118">
        <v>0.44511850788170182</v>
      </c>
      <c r="G118">
        <v>3.9197722310440648</v>
      </c>
      <c r="H118">
        <v>6.3511342572159943</v>
      </c>
      <c r="I118">
        <v>22.904398914834481</v>
      </c>
      <c r="J118">
        <v>4.7318562556398963E-2</v>
      </c>
      <c r="K118">
        <v>7.8616545107619871</v>
      </c>
      <c r="L118">
        <v>1.917916484066863</v>
      </c>
      <c r="M118">
        <v>0.21894637111896256</v>
      </c>
      <c r="N118">
        <v>0.201360080071049</v>
      </c>
      <c r="O118">
        <v>13.214255887756806</v>
      </c>
      <c r="P118" s="3">
        <v>40.531560885090009</v>
      </c>
      <c r="Q118" s="3">
        <v>1.757479059254611</v>
      </c>
    </row>
    <row r="119" spans="1:17" x14ac:dyDescent="0.3">
      <c r="A119" s="18">
        <v>12004</v>
      </c>
      <c r="B119" s="15" t="s">
        <v>160</v>
      </c>
      <c r="C119" s="15" t="s">
        <v>158</v>
      </c>
      <c r="D119" s="24">
        <v>1</v>
      </c>
      <c r="E119" s="1" t="s">
        <v>162</v>
      </c>
      <c r="F119">
        <v>0.35609480630536144</v>
      </c>
      <c r="G119">
        <v>9.0456282254863041</v>
      </c>
      <c r="H119">
        <v>5.5572424750639948</v>
      </c>
      <c r="I119">
        <v>17.295158364262772</v>
      </c>
      <c r="J119">
        <v>4.814871277668667E-2</v>
      </c>
      <c r="K119">
        <v>7.1469586461472616</v>
      </c>
      <c r="L119">
        <v>2.037786264321042</v>
      </c>
      <c r="M119">
        <v>0.58157629828474422</v>
      </c>
      <c r="N119">
        <v>0.17812622467823563</v>
      </c>
      <c r="O119">
        <v>17.878110906965091</v>
      </c>
      <c r="P119" s="3">
        <v>53.75795898739532</v>
      </c>
      <c r="Q119" s="3">
        <v>5.1509185737481342</v>
      </c>
    </row>
    <row r="120" spans="1:17" x14ac:dyDescent="0.3">
      <c r="A120" s="18">
        <v>12018</v>
      </c>
      <c r="B120" s="15" t="s">
        <v>160</v>
      </c>
      <c r="C120" s="15" t="s">
        <v>158</v>
      </c>
      <c r="D120" s="24">
        <v>1</v>
      </c>
      <c r="E120" s="1" t="s">
        <v>162</v>
      </c>
      <c r="F120">
        <v>0.14837283596056727</v>
      </c>
      <c r="G120">
        <v>9.0757803195712583</v>
      </c>
      <c r="H120">
        <v>3.9271180157118897</v>
      </c>
      <c r="I120">
        <v>20.665377061731274</v>
      </c>
      <c r="J120">
        <v>4.8978862996974362E-2</v>
      </c>
      <c r="K120">
        <v>5.8962408830714903</v>
      </c>
      <c r="L120">
        <v>1.5702941213297441</v>
      </c>
      <c r="M120">
        <v>0.35578785306831417</v>
      </c>
      <c r="N120">
        <v>0.21684931699959123</v>
      </c>
      <c r="O120">
        <v>16.89092826123267</v>
      </c>
      <c r="P120" s="3">
        <v>55.248854847499373</v>
      </c>
      <c r="Q120" s="3">
        <v>4.4902357182945725</v>
      </c>
    </row>
    <row r="121" spans="1:17" x14ac:dyDescent="0.3">
      <c r="A121" s="18">
        <v>12075</v>
      </c>
      <c r="B121" s="15" t="s">
        <v>160</v>
      </c>
      <c r="C121" s="15" t="s">
        <v>158</v>
      </c>
      <c r="D121" s="24">
        <v>1</v>
      </c>
      <c r="E121" s="1" t="s">
        <v>162</v>
      </c>
      <c r="F121">
        <v>0.16500266219203297</v>
      </c>
      <c r="G121">
        <v>7.8008306622753469</v>
      </c>
      <c r="H121">
        <v>4.5002894426362792</v>
      </c>
      <c r="I121">
        <v>21.202716204596957</v>
      </c>
      <c r="J121">
        <v>4.9000094460408802E-2</v>
      </c>
      <c r="K121">
        <v>6.6000237269989883</v>
      </c>
      <c r="L121">
        <v>1.7998492568992115</v>
      </c>
      <c r="M121">
        <v>0.40301040230393459</v>
      </c>
      <c r="N121">
        <v>0.20800122432093485</v>
      </c>
      <c r="O121">
        <v>15.699905506245322</v>
      </c>
      <c r="P121" s="3">
        <v>53.307001018865179</v>
      </c>
      <c r="Q121" s="3">
        <v>4.4407150198657517</v>
      </c>
    </row>
    <row r="122" spans="1:17" x14ac:dyDescent="0.3">
      <c r="A122" s="18">
        <v>12021</v>
      </c>
      <c r="B122" s="15" t="s">
        <v>160</v>
      </c>
      <c r="C122" s="15" t="s">
        <v>158</v>
      </c>
      <c r="D122" s="24">
        <v>1</v>
      </c>
      <c r="E122" s="1" t="s">
        <v>162</v>
      </c>
      <c r="F122">
        <v>0.22255925394085091</v>
      </c>
      <c r="G122">
        <v>4.5107532751091703</v>
      </c>
      <c r="H122">
        <v>5.5572424750639948</v>
      </c>
      <c r="I122">
        <v>21.735807133465375</v>
      </c>
      <c r="J122">
        <v>4.9809013217262069E-2</v>
      </c>
      <c r="K122">
        <v>8.0760632701464061</v>
      </c>
      <c r="L122">
        <v>2.1037146434608403</v>
      </c>
      <c r="M122">
        <v>0.28052503799617073</v>
      </c>
      <c r="N122">
        <v>0.2091046985353201</v>
      </c>
      <c r="O122">
        <v>15.07979789544012</v>
      </c>
      <c r="P122" s="3">
        <v>40.733487460595491</v>
      </c>
      <c r="Q122" s="3">
        <v>2.5526227817278877</v>
      </c>
    </row>
    <row r="123" spans="1:17" x14ac:dyDescent="0.3">
      <c r="A123" s="18">
        <v>12043</v>
      </c>
      <c r="B123" s="15" t="s">
        <v>160</v>
      </c>
      <c r="C123" s="15" t="s">
        <v>158</v>
      </c>
      <c r="D123" s="24">
        <v>1</v>
      </c>
      <c r="E123" s="1" t="s">
        <v>162</v>
      </c>
      <c r="F123">
        <v>0.20030332854676583</v>
      </c>
      <c r="G123">
        <v>4.6313616514489873</v>
      </c>
      <c r="H123">
        <v>5.3402453879424483</v>
      </c>
      <c r="I123">
        <v>21.862015045853241</v>
      </c>
      <c r="J123">
        <v>4.9809013217262069E-2</v>
      </c>
      <c r="K123">
        <v>7.833066676177399</v>
      </c>
      <c r="L123">
        <v>2.0257992862956238</v>
      </c>
      <c r="M123">
        <v>0.34210370487337899</v>
      </c>
      <c r="N123">
        <v>0.2245939354638623</v>
      </c>
      <c r="O123">
        <v>15.157528812426925</v>
      </c>
      <c r="P123" s="3">
        <v>41.24737069110904</v>
      </c>
      <c r="Q123" s="3">
        <v>3.21734976902047</v>
      </c>
    </row>
    <row r="124" spans="1:17" x14ac:dyDescent="0.3">
      <c r="A124" s="18">
        <v>12043</v>
      </c>
      <c r="B124" s="15" t="s">
        <v>160</v>
      </c>
      <c r="C124" s="15" t="s">
        <v>158</v>
      </c>
      <c r="D124" s="24">
        <v>1</v>
      </c>
      <c r="E124" s="1" t="s">
        <v>162</v>
      </c>
      <c r="F124">
        <v>0.20030332854676583</v>
      </c>
      <c r="G124">
        <v>4.6313616514489873</v>
      </c>
      <c r="H124">
        <v>5.3455379998234616</v>
      </c>
      <c r="I124">
        <v>21.876038147229664</v>
      </c>
      <c r="J124">
        <v>4.9809013217262069E-2</v>
      </c>
      <c r="K124">
        <v>7.8616545107619871</v>
      </c>
      <c r="L124">
        <v>2.0257992862956238</v>
      </c>
      <c r="M124">
        <v>0.34210370487337899</v>
      </c>
      <c r="N124">
        <v>0.2245939354638623</v>
      </c>
      <c r="O124">
        <v>15.157528812426925</v>
      </c>
      <c r="P124" s="3">
        <v>41.24737069110904</v>
      </c>
      <c r="Q124" s="3">
        <v>3.2142666644977829</v>
      </c>
    </row>
    <row r="125" spans="1:17" x14ac:dyDescent="0.3">
      <c r="A125" s="18">
        <v>12011</v>
      </c>
      <c r="B125" s="15" t="s">
        <v>160</v>
      </c>
      <c r="C125" s="15" t="s">
        <v>158</v>
      </c>
      <c r="D125" s="24">
        <v>1</v>
      </c>
      <c r="E125" s="1" t="s">
        <v>162</v>
      </c>
      <c r="F125">
        <v>0.18546604495070909</v>
      </c>
      <c r="G125">
        <v>4.9811259428344581</v>
      </c>
      <c r="H125">
        <v>5.1708818077500212</v>
      </c>
      <c r="I125">
        <v>21.782550804720138</v>
      </c>
      <c r="J125">
        <v>4.9809013217262069E-2</v>
      </c>
      <c r="K125">
        <v>7.5757761649160962</v>
      </c>
      <c r="L125">
        <v>1.9718578851812436</v>
      </c>
      <c r="M125">
        <v>0.40368237175058719</v>
      </c>
      <c r="N125">
        <v>0.2245939354638623</v>
      </c>
      <c r="O125">
        <v>15.157528812426925</v>
      </c>
      <c r="P125" s="3">
        <v>43.022248066102335</v>
      </c>
      <c r="Q125" s="3">
        <v>3.8934307184997281</v>
      </c>
    </row>
    <row r="126" spans="1:17" x14ac:dyDescent="0.3">
      <c r="A126" s="18">
        <v>12011</v>
      </c>
      <c r="B126" s="15" t="s">
        <v>160</v>
      </c>
      <c r="C126" s="15" t="s">
        <v>158</v>
      </c>
      <c r="D126" s="24">
        <v>1</v>
      </c>
      <c r="E126" s="1" t="s">
        <v>162</v>
      </c>
      <c r="F126">
        <v>0.18546604495070909</v>
      </c>
      <c r="G126">
        <v>4.9811259428344581</v>
      </c>
      <c r="H126">
        <v>5.1708818077500212</v>
      </c>
      <c r="I126">
        <v>21.796573906096569</v>
      </c>
      <c r="J126">
        <v>4.9809013217262069E-2</v>
      </c>
      <c r="K126">
        <v>7.597217040854539</v>
      </c>
      <c r="L126">
        <v>1.9718578851812436</v>
      </c>
      <c r="M126">
        <v>0.40368237175058719</v>
      </c>
      <c r="N126">
        <v>0.2245939354638623</v>
      </c>
      <c r="O126">
        <v>15.180848087522968</v>
      </c>
      <c r="P126" s="3">
        <v>42.984568618598701</v>
      </c>
      <c r="Q126" s="3">
        <v>3.8934307184997281</v>
      </c>
    </row>
    <row r="127" spans="1:17" x14ac:dyDescent="0.3">
      <c r="A127" s="18">
        <v>12009</v>
      </c>
      <c r="B127" s="15" t="s">
        <v>160</v>
      </c>
      <c r="C127" s="15" t="s">
        <v>158</v>
      </c>
      <c r="D127" s="24">
        <v>1</v>
      </c>
      <c r="E127" s="1" t="s">
        <v>162</v>
      </c>
      <c r="F127">
        <v>0.17062876135465238</v>
      </c>
      <c r="G127">
        <v>6.9952858277094077</v>
      </c>
      <c r="H127">
        <v>4.5463536057904488</v>
      </c>
      <c r="I127">
        <v>21.034652064643911</v>
      </c>
      <c r="J127">
        <v>4.9809013217262069E-2</v>
      </c>
      <c r="K127">
        <v>6.7324350446707202</v>
      </c>
      <c r="L127">
        <v>1.7381118136855946</v>
      </c>
      <c r="M127">
        <v>0.37631407536071693</v>
      </c>
      <c r="N127">
        <v>0.21684931699959123</v>
      </c>
      <c r="O127">
        <v>16.323492567228996</v>
      </c>
      <c r="P127" s="3">
        <v>49.613233777107212</v>
      </c>
      <c r="Q127" s="3">
        <v>4.11838364890089</v>
      </c>
    </row>
    <row r="128" spans="1:17" x14ac:dyDescent="0.3">
      <c r="A128" s="18">
        <v>12015</v>
      </c>
      <c r="B128" s="15" t="s">
        <v>160</v>
      </c>
      <c r="C128" s="15" t="s">
        <v>158</v>
      </c>
      <c r="D128" s="24">
        <v>1</v>
      </c>
      <c r="E128" s="1" t="s">
        <v>162</v>
      </c>
      <c r="F128">
        <v>0.17062876135465238</v>
      </c>
      <c r="G128">
        <v>7.1641375545851531</v>
      </c>
      <c r="H128">
        <v>4.5357683820284223</v>
      </c>
      <c r="I128">
        <v>21.025303330392955</v>
      </c>
      <c r="J128">
        <v>4.9809013217262069E-2</v>
      </c>
      <c r="K128">
        <v>6.5823489131016277</v>
      </c>
      <c r="L128">
        <v>1.7141378576347588</v>
      </c>
      <c r="M128">
        <v>0.46526103862779544</v>
      </c>
      <c r="N128">
        <v>0.2245939354638623</v>
      </c>
      <c r="O128">
        <v>15.686099047937198</v>
      </c>
      <c r="P128" s="3">
        <v>51.205033635352862</v>
      </c>
      <c r="Q128" s="3">
        <v>5.0539055840054612</v>
      </c>
    </row>
    <row r="129" spans="1:17" x14ac:dyDescent="0.3">
      <c r="A129" s="18">
        <v>12015</v>
      </c>
      <c r="B129" s="15" t="s">
        <v>160</v>
      </c>
      <c r="C129" s="15" t="s">
        <v>158</v>
      </c>
      <c r="D129" s="24">
        <v>1</v>
      </c>
      <c r="E129" s="1" t="s">
        <v>162</v>
      </c>
      <c r="F129">
        <v>0.17062876135465238</v>
      </c>
      <c r="G129">
        <v>7.1761983922191339</v>
      </c>
      <c r="H129">
        <v>4.5357683820284223</v>
      </c>
      <c r="I129">
        <v>21.034652064643911</v>
      </c>
      <c r="J129">
        <v>4.9809013217262069E-2</v>
      </c>
      <c r="K129">
        <v>6.5823489131016277</v>
      </c>
      <c r="L129">
        <v>1.7141378576347588</v>
      </c>
      <c r="M129">
        <v>0.46526103862779544</v>
      </c>
      <c r="N129">
        <v>0.2245939354638623</v>
      </c>
      <c r="O129">
        <v>15.701645231334558</v>
      </c>
      <c r="P129" s="3">
        <v>51.222310866963944</v>
      </c>
      <c r="Q129" s="3">
        <v>5.0539055840054612</v>
      </c>
    </row>
    <row r="130" spans="1:17" x14ac:dyDescent="0.3">
      <c r="A130" s="18">
        <v>12076</v>
      </c>
      <c r="B130" s="15" t="s">
        <v>160</v>
      </c>
      <c r="C130" s="15" t="s">
        <v>158</v>
      </c>
      <c r="D130" s="24">
        <v>1</v>
      </c>
      <c r="E130" s="1" t="s">
        <v>162</v>
      </c>
      <c r="F130">
        <v>0.15579147775859564</v>
      </c>
      <c r="G130">
        <v>7.3932934696308052</v>
      </c>
      <c r="H130">
        <v>4.2870156236207961</v>
      </c>
      <c r="I130">
        <v>20.973885292012717</v>
      </c>
      <c r="J130">
        <v>4.9809013217262069E-2</v>
      </c>
      <c r="K130">
        <v>6.4537036574709763</v>
      </c>
      <c r="L130">
        <v>1.6542029675076693</v>
      </c>
      <c r="M130">
        <v>0.46526103862779544</v>
      </c>
      <c r="N130">
        <v>0.23233855392813343</v>
      </c>
      <c r="O130">
        <v>16.05920744947386</v>
      </c>
      <c r="P130" s="3">
        <v>51.404351759482331</v>
      </c>
      <c r="Q130" s="3">
        <v>5.3315221370713299</v>
      </c>
    </row>
    <row r="131" spans="1:17" x14ac:dyDescent="0.3">
      <c r="A131" s="18">
        <v>12016</v>
      </c>
      <c r="B131" s="15" t="s">
        <v>160</v>
      </c>
      <c r="C131" s="15" t="s">
        <v>158</v>
      </c>
      <c r="D131" s="24">
        <v>1</v>
      </c>
      <c r="E131" s="1" t="s">
        <v>162</v>
      </c>
      <c r="F131">
        <v>0.16321011955662401</v>
      </c>
      <c r="G131">
        <v>7.6284798034934491</v>
      </c>
      <c r="H131">
        <v>3.8265583899726368</v>
      </c>
      <c r="I131">
        <v>19.996942562788146</v>
      </c>
      <c r="J131">
        <v>4.9809013217262069E-2</v>
      </c>
      <c r="K131">
        <v>6.0177391800559938</v>
      </c>
      <c r="L131">
        <v>2.4093825831089966</v>
      </c>
      <c r="M131">
        <v>0.389998223555652</v>
      </c>
      <c r="N131">
        <v>0.23233855392813343</v>
      </c>
      <c r="O131">
        <v>17.598279605812593</v>
      </c>
      <c r="P131" s="3">
        <v>49.899633733791795</v>
      </c>
      <c r="Q131" s="3">
        <v>5.0231511155972015</v>
      </c>
    </row>
    <row r="132" spans="1:17" x14ac:dyDescent="0.3">
      <c r="A132" s="18">
        <v>12014</v>
      </c>
      <c r="B132" s="15" t="s">
        <v>160</v>
      </c>
      <c r="C132" s="15" t="s">
        <v>158</v>
      </c>
      <c r="D132" s="24">
        <v>1</v>
      </c>
      <c r="E132" s="1" t="s">
        <v>162</v>
      </c>
      <c r="F132">
        <v>0.15579147775859564</v>
      </c>
      <c r="G132">
        <v>8.3521300615323533</v>
      </c>
      <c r="H132">
        <v>4.2340895048106626</v>
      </c>
      <c r="I132">
        <v>21.193580546910113</v>
      </c>
      <c r="J132">
        <v>4.9809013217262069E-2</v>
      </c>
      <c r="K132">
        <v>6.1678253116250872</v>
      </c>
      <c r="L132">
        <v>1.6062550554059978</v>
      </c>
      <c r="M132">
        <v>0.43789274223792513</v>
      </c>
      <c r="N132">
        <v>0.201360080071049</v>
      </c>
      <c r="O132">
        <v>15.802695423417402</v>
      </c>
      <c r="P132" s="3">
        <v>54.84064073113138</v>
      </c>
      <c r="Q132" s="3">
        <v>5.0934060870001776</v>
      </c>
    </row>
    <row r="133" spans="1:17" x14ac:dyDescent="0.3">
      <c r="A133" s="18">
        <v>12012</v>
      </c>
      <c r="B133" s="15" t="s">
        <v>160</v>
      </c>
      <c r="C133" s="15" t="s">
        <v>158</v>
      </c>
      <c r="D133" s="24">
        <v>1</v>
      </c>
      <c r="E133" s="1" t="s">
        <v>162</v>
      </c>
      <c r="F133">
        <v>0.15579147775859564</v>
      </c>
      <c r="G133">
        <v>8.665711840015879</v>
      </c>
      <c r="H133">
        <v>4.0806037602612761</v>
      </c>
      <c r="I133">
        <v>20.646679593229369</v>
      </c>
      <c r="J133">
        <v>4.9809013217262069E-2</v>
      </c>
      <c r="K133">
        <v>6.0534739732867306</v>
      </c>
      <c r="L133">
        <v>1.5822810993551621</v>
      </c>
      <c r="M133">
        <v>0.47210311272526295</v>
      </c>
      <c r="N133">
        <v>0.23233855392813343</v>
      </c>
      <c r="O133">
        <v>16.082526724569902</v>
      </c>
      <c r="P133" s="3">
        <v>55.318271235344781</v>
      </c>
      <c r="Q133" s="3">
        <v>5.6636414247927052</v>
      </c>
    </row>
    <row r="134" spans="1:17" x14ac:dyDescent="0.3">
      <c r="A134" s="18">
        <v>12020</v>
      </c>
      <c r="B134" s="15" t="s">
        <v>160</v>
      </c>
      <c r="C134" s="15" t="s">
        <v>158</v>
      </c>
      <c r="D134" s="24">
        <v>1</v>
      </c>
      <c r="E134" s="1" t="s">
        <v>162</v>
      </c>
      <c r="F134">
        <v>0.17062876135465238</v>
      </c>
      <c r="G134">
        <v>8.6838030964668516</v>
      </c>
      <c r="H134">
        <v>4.2340895048106626</v>
      </c>
      <c r="I134">
        <v>20.847677379624855</v>
      </c>
      <c r="J134">
        <v>4.9809013217262069E-2</v>
      </c>
      <c r="K134">
        <v>6.0963557251636136</v>
      </c>
      <c r="L134">
        <v>1.5343331872534904</v>
      </c>
      <c r="M134">
        <v>0.41052444584805475</v>
      </c>
      <c r="N134">
        <v>0.2091046985353201</v>
      </c>
      <c r="O134">
        <v>16.09029981626858</v>
      </c>
      <c r="P134" s="3">
        <v>55.357872107627472</v>
      </c>
      <c r="Q134" s="3">
        <v>4.7903176020833627</v>
      </c>
    </row>
    <row r="135" spans="1:17" x14ac:dyDescent="0.3">
      <c r="A135" s="18">
        <v>12020</v>
      </c>
      <c r="B135" s="15" t="s">
        <v>160</v>
      </c>
      <c r="C135" s="15" t="s">
        <v>158</v>
      </c>
      <c r="D135" s="24">
        <v>1</v>
      </c>
      <c r="E135" s="1" t="s">
        <v>162</v>
      </c>
      <c r="F135">
        <v>0.17062876135465238</v>
      </c>
      <c r="G135">
        <v>8.6838030964668516</v>
      </c>
      <c r="H135">
        <v>4.2340895048106626</v>
      </c>
      <c r="I135">
        <v>20.847677379624855</v>
      </c>
      <c r="J135">
        <v>4.9809013217262069E-2</v>
      </c>
      <c r="K135">
        <v>6.0963557251636136</v>
      </c>
      <c r="L135">
        <v>1.5343331872534904</v>
      </c>
      <c r="M135">
        <v>0.41052444584805475</v>
      </c>
      <c r="N135">
        <v>0.2091046985353201</v>
      </c>
      <c r="O135">
        <v>16.09029981626858</v>
      </c>
      <c r="P135" s="3">
        <v>55.357872107627472</v>
      </c>
      <c r="Q135" s="3">
        <v>4.7903176020833627</v>
      </c>
    </row>
    <row r="136" spans="1:17" x14ac:dyDescent="0.3">
      <c r="A136" s="18">
        <v>12020</v>
      </c>
      <c r="B136" s="15" t="s">
        <v>160</v>
      </c>
      <c r="C136" s="15" t="s">
        <v>158</v>
      </c>
      <c r="D136" s="24">
        <v>1</v>
      </c>
      <c r="E136" s="1" t="s">
        <v>162</v>
      </c>
      <c r="F136">
        <v>0.15579147775859564</v>
      </c>
      <c r="G136">
        <v>8.9792936184994048</v>
      </c>
      <c r="H136">
        <v>4.2287968929296493</v>
      </c>
      <c r="I136">
        <v>20.777561872742709</v>
      </c>
      <c r="J136">
        <v>4.9809013217262069E-2</v>
      </c>
      <c r="K136">
        <v>6.0963557251636136</v>
      </c>
      <c r="L136">
        <v>1.5223462092280726</v>
      </c>
      <c r="M136">
        <v>0.46526103862779544</v>
      </c>
      <c r="N136">
        <v>0.201360080071049</v>
      </c>
      <c r="O136">
        <v>16.051434357775179</v>
      </c>
      <c r="P136" s="3">
        <v>56.242776551570486</v>
      </c>
      <c r="Q136" s="3">
        <v>5.400958003805159</v>
      </c>
    </row>
    <row r="137" spans="1:17" x14ac:dyDescent="0.3">
      <c r="A137" s="18">
        <v>12036</v>
      </c>
      <c r="B137" s="15" t="s">
        <v>160</v>
      </c>
      <c r="C137" s="15" t="s">
        <v>158</v>
      </c>
      <c r="D137" s="24">
        <v>1</v>
      </c>
      <c r="E137" s="1" t="s">
        <v>162</v>
      </c>
      <c r="F137">
        <v>0.13353555236451053</v>
      </c>
      <c r="G137">
        <v>10.076829843191742</v>
      </c>
      <c r="H137">
        <v>3.2602489187042103</v>
      </c>
      <c r="I137">
        <v>20.151196677928866</v>
      </c>
      <c r="J137">
        <v>4.9809013217262069E-2</v>
      </c>
      <c r="K137">
        <v>5.3316311500258564</v>
      </c>
      <c r="L137">
        <v>1.917916484066863</v>
      </c>
      <c r="M137">
        <v>0.4926293350176657</v>
      </c>
      <c r="N137">
        <v>0.23233855392813343</v>
      </c>
      <c r="O137">
        <v>16.960886086520794</v>
      </c>
      <c r="P137" s="3">
        <v>57.718466722884777</v>
      </c>
      <c r="Q137" s="3">
        <v>7.2709246211136165</v>
      </c>
    </row>
    <row r="138" spans="1:17" x14ac:dyDescent="0.3">
      <c r="A138" s="18">
        <v>12053</v>
      </c>
      <c r="B138" s="15" t="s">
        <v>160</v>
      </c>
      <c r="C138" s="15" t="s">
        <v>158</v>
      </c>
      <c r="D138" s="24">
        <v>1</v>
      </c>
      <c r="E138" s="1" t="s">
        <v>162</v>
      </c>
      <c r="F138">
        <v>0.19600316236144491</v>
      </c>
      <c r="G138">
        <v>4.8605175664946403</v>
      </c>
      <c r="H138">
        <v>5.390346687957658</v>
      </c>
      <c r="I138">
        <v>22.102831515169456</v>
      </c>
      <c r="J138">
        <v>5.0000096388172287E-2</v>
      </c>
      <c r="K138">
        <v>6.7000240864989742</v>
      </c>
      <c r="L138">
        <v>2.1998157584323703</v>
      </c>
      <c r="M138">
        <v>0.34800898263466273</v>
      </c>
      <c r="N138">
        <v>0.22200130672715149</v>
      </c>
      <c r="O138">
        <v>15.599906108116407</v>
      </c>
      <c r="P138" s="3">
        <v>41.721368630051693</v>
      </c>
      <c r="Q138" s="3">
        <v>3.241652093096961</v>
      </c>
    </row>
    <row r="139" spans="1:17" x14ac:dyDescent="0.3">
      <c r="A139" s="18">
        <v>12075</v>
      </c>
      <c r="B139" s="15" t="s">
        <v>160</v>
      </c>
      <c r="C139" s="15" t="s">
        <v>158</v>
      </c>
      <c r="D139" s="24">
        <v>1</v>
      </c>
      <c r="E139" s="1" t="s">
        <v>162</v>
      </c>
      <c r="F139">
        <v>0.13600219429161503</v>
      </c>
      <c r="G139">
        <v>8.9009478069551751</v>
      </c>
      <c r="H139">
        <v>3.8002444182261872</v>
      </c>
      <c r="I139">
        <v>21.102703392311128</v>
      </c>
      <c r="J139">
        <v>5.0000096388172287E-2</v>
      </c>
      <c r="K139">
        <v>5.900021210499097</v>
      </c>
      <c r="L139">
        <v>1.6998576315159204</v>
      </c>
      <c r="M139">
        <v>0.46801208009489165</v>
      </c>
      <c r="N139">
        <v>0.20700121843477648</v>
      </c>
      <c r="O139">
        <v>15.599906108116407</v>
      </c>
      <c r="P139" s="3">
        <v>56.728702906019052</v>
      </c>
      <c r="Q139" s="3">
        <v>6.0068389935160074</v>
      </c>
    </row>
    <row r="140" spans="1:17" x14ac:dyDescent="0.3">
      <c r="A140" s="18">
        <v>12015</v>
      </c>
      <c r="B140" s="15" t="s">
        <v>160</v>
      </c>
      <c r="C140" s="15" t="s">
        <v>158</v>
      </c>
      <c r="D140" s="24">
        <v>1</v>
      </c>
      <c r="E140" s="1" t="s">
        <v>162</v>
      </c>
      <c r="F140">
        <v>0.27448974652704944</v>
      </c>
      <c r="G140">
        <v>8.442586343787216</v>
      </c>
      <c r="H140">
        <v>5.8218730691146607</v>
      </c>
      <c r="I140">
        <v>17.762595076810413</v>
      </c>
      <c r="J140">
        <v>5.1469313657837468E-2</v>
      </c>
      <c r="K140">
        <v>7.0040194732243162</v>
      </c>
      <c r="L140">
        <v>1.917916484066863</v>
      </c>
      <c r="M140">
        <v>0.389998223555652</v>
      </c>
      <c r="N140">
        <v>0.25557240932094677</v>
      </c>
      <c r="O140">
        <v>17.100801737097044</v>
      </c>
      <c r="P140" s="3">
        <v>53.147364549823934</v>
      </c>
      <c r="Q140" s="3">
        <v>3.3594149427226965</v>
      </c>
    </row>
    <row r="141" spans="1:17" x14ac:dyDescent="0.3">
      <c r="A141" s="18">
        <v>12065</v>
      </c>
      <c r="B141" s="15" t="s">
        <v>160</v>
      </c>
      <c r="C141" s="15" t="s">
        <v>158</v>
      </c>
      <c r="D141" s="24">
        <v>1</v>
      </c>
      <c r="E141" s="1" t="s">
        <v>162</v>
      </c>
      <c r="F141">
        <v>0.17804740315268072</v>
      </c>
      <c r="G141">
        <v>5.5479853116315994</v>
      </c>
      <c r="H141">
        <v>5.1867596433930618</v>
      </c>
      <c r="I141">
        <v>22.016269160993961</v>
      </c>
      <c r="J141">
        <v>5.2299463878125174E-2</v>
      </c>
      <c r="K141">
        <v>7.2184282326087335</v>
      </c>
      <c r="L141">
        <v>1.9478839291304078</v>
      </c>
      <c r="M141">
        <v>0.34210370487337899</v>
      </c>
      <c r="N141">
        <v>0.201360080071049</v>
      </c>
      <c r="O141">
        <v>15.546183397360949</v>
      </c>
      <c r="P141" s="3">
        <v>45.054166035011328</v>
      </c>
      <c r="Q141" s="3">
        <v>3.3094062621168159</v>
      </c>
    </row>
    <row r="142" spans="1:17" x14ac:dyDescent="0.3">
      <c r="A142" s="18">
        <v>12009</v>
      </c>
      <c r="B142" s="15" t="s">
        <v>160</v>
      </c>
      <c r="C142" s="15" t="s">
        <v>158</v>
      </c>
      <c r="D142" s="24">
        <v>1</v>
      </c>
      <c r="E142" s="1" t="s">
        <v>162</v>
      </c>
      <c r="F142">
        <v>0.37835073169944655</v>
      </c>
      <c r="G142">
        <v>7.5380235212385864</v>
      </c>
      <c r="H142">
        <v>5.8218730691146607</v>
      </c>
      <c r="I142">
        <v>19.164905214453341</v>
      </c>
      <c r="J142">
        <v>5.2299463878125174E-2</v>
      </c>
      <c r="K142">
        <v>7.1469586461472616</v>
      </c>
      <c r="L142">
        <v>1.9778513741939523</v>
      </c>
      <c r="M142">
        <v>0.51999763140753608</v>
      </c>
      <c r="N142">
        <v>0.14714775082115117</v>
      </c>
      <c r="O142">
        <v>15.546183397360949</v>
      </c>
      <c r="P142" s="3">
        <v>52.698444367507179</v>
      </c>
      <c r="Q142" s="3">
        <v>4.4296168534699847</v>
      </c>
    </row>
    <row r="143" spans="1:17" x14ac:dyDescent="0.3">
      <c r="A143" s="18">
        <v>12063</v>
      </c>
      <c r="B143" s="15" t="s">
        <v>160</v>
      </c>
      <c r="C143" s="15" t="s">
        <v>158</v>
      </c>
      <c r="D143" s="24">
        <v>1</v>
      </c>
      <c r="E143" s="1" t="s">
        <v>162</v>
      </c>
      <c r="F143">
        <v>0.20549637780538568</v>
      </c>
      <c r="G143">
        <v>6.8746774513695907</v>
      </c>
      <c r="H143">
        <v>4.8162768117221288</v>
      </c>
      <c r="I143">
        <v>20.006291297039095</v>
      </c>
      <c r="J143">
        <v>5.3129614098412874E-2</v>
      </c>
      <c r="K143">
        <v>7.5043065784546243</v>
      </c>
      <c r="L143">
        <v>2.9967445063544735</v>
      </c>
      <c r="M143">
        <v>0.28052503799617073</v>
      </c>
      <c r="N143">
        <v>0.2125897768442421</v>
      </c>
      <c r="O143">
        <v>16.478954401202603</v>
      </c>
      <c r="P143" s="3">
        <v>48.941622012847098</v>
      </c>
      <c r="Q143" s="3">
        <v>2.9338125684559317</v>
      </c>
    </row>
    <row r="144" spans="1:17" x14ac:dyDescent="0.3">
      <c r="A144" s="18">
        <v>12009</v>
      </c>
      <c r="B144" s="15" t="s">
        <v>160</v>
      </c>
      <c r="C144" s="15" t="s">
        <v>158</v>
      </c>
      <c r="D144" s="24">
        <v>1</v>
      </c>
      <c r="E144" s="1" t="s">
        <v>162</v>
      </c>
      <c r="F144">
        <v>0.17062876135465238</v>
      </c>
      <c r="G144">
        <v>6.9651337336244543</v>
      </c>
      <c r="H144">
        <v>4.5463536057904488</v>
      </c>
      <c r="I144">
        <v>21.048675166020342</v>
      </c>
      <c r="J144">
        <v>5.3129614098412874E-2</v>
      </c>
      <c r="K144">
        <v>6.7324350446707202</v>
      </c>
      <c r="L144">
        <v>1.7381118136855946</v>
      </c>
      <c r="M144">
        <v>0.37631407536071693</v>
      </c>
      <c r="N144">
        <v>0.21684931699959123</v>
      </c>
      <c r="O144">
        <v>16.346811842325039</v>
      </c>
      <c r="P144" s="3">
        <v>49.469565634809648</v>
      </c>
      <c r="Q144" s="3">
        <v>4.11838364890089</v>
      </c>
    </row>
    <row r="145" spans="1:17" x14ac:dyDescent="0.3">
      <c r="A145" s="18">
        <v>12020</v>
      </c>
      <c r="B145" s="15" t="s">
        <v>160</v>
      </c>
      <c r="C145" s="15" t="s">
        <v>158</v>
      </c>
      <c r="D145" s="24">
        <v>1</v>
      </c>
      <c r="E145" s="1" t="s">
        <v>162</v>
      </c>
      <c r="F145">
        <v>0.15579147775859564</v>
      </c>
      <c r="G145">
        <v>8.3883125744342983</v>
      </c>
      <c r="H145">
        <v>3.8688992850207429</v>
      </c>
      <c r="I145">
        <v>20.875723582377709</v>
      </c>
      <c r="J145">
        <v>5.3129614098412874E-2</v>
      </c>
      <c r="K145">
        <v>6.239294898086559</v>
      </c>
      <c r="L145">
        <v>1.6362225004695425</v>
      </c>
      <c r="M145">
        <v>0.37631407536071693</v>
      </c>
      <c r="N145">
        <v>0.21684931699959123</v>
      </c>
      <c r="O145">
        <v>16.774331885752463</v>
      </c>
      <c r="P145" s="3">
        <v>53.466614994312046</v>
      </c>
      <c r="Q145" s="3">
        <v>4.8048734809314171</v>
      </c>
    </row>
    <row r="146" spans="1:17" x14ac:dyDescent="0.3">
      <c r="A146" s="18">
        <v>12038</v>
      </c>
      <c r="B146" s="15" t="s">
        <v>160</v>
      </c>
      <c r="C146" s="15" t="s">
        <v>158</v>
      </c>
      <c r="D146" s="24">
        <v>1</v>
      </c>
      <c r="E146" s="1" t="s">
        <v>162</v>
      </c>
      <c r="F146">
        <v>0.4970490004679004</v>
      </c>
      <c r="G146">
        <v>4.1187760520047636</v>
      </c>
      <c r="H146">
        <v>6.589301791861593</v>
      </c>
      <c r="I146">
        <v>21.787225171845616</v>
      </c>
      <c r="J146">
        <v>5.5620064759275979E-2</v>
      </c>
      <c r="K146">
        <v>8.2047085257770558</v>
      </c>
      <c r="L146">
        <v>1.9478839291304078</v>
      </c>
      <c r="M146">
        <v>0.21894637111896256</v>
      </c>
      <c r="N146">
        <v>0.19438992345320497</v>
      </c>
      <c r="O146">
        <v>13.797237765157842</v>
      </c>
      <c r="P146" s="3">
        <v>40.684717429003591</v>
      </c>
      <c r="Q146" s="3">
        <v>1.6950324609881593</v>
      </c>
    </row>
    <row r="147" spans="1:17" x14ac:dyDescent="0.3">
      <c r="A147" s="18">
        <v>12052</v>
      </c>
      <c r="B147" s="15" t="s">
        <v>160</v>
      </c>
      <c r="C147" s="15" t="s">
        <v>158</v>
      </c>
      <c r="D147" s="24">
        <v>1</v>
      </c>
      <c r="E147" s="1" t="s">
        <v>162</v>
      </c>
      <c r="F147">
        <v>0.20030332854676583</v>
      </c>
      <c r="G147">
        <v>4.9087609170305679</v>
      </c>
      <c r="H147">
        <v>5.4196345661576482</v>
      </c>
      <c r="I147">
        <v>21.777876437594664</v>
      </c>
      <c r="J147">
        <v>5.5620064759275979E-2</v>
      </c>
      <c r="K147">
        <v>7.6472457513775689</v>
      </c>
      <c r="L147">
        <v>1.9778513741939523</v>
      </c>
      <c r="M147">
        <v>0.36741937903400906</v>
      </c>
      <c r="N147">
        <v>0.19981115637819477</v>
      </c>
      <c r="O147">
        <v>15.4062677467847</v>
      </c>
      <c r="P147" s="3">
        <v>42.266202721722713</v>
      </c>
      <c r="Q147" s="3">
        <v>3.3984459772382118</v>
      </c>
    </row>
    <row r="148" spans="1:17" x14ac:dyDescent="0.3">
      <c r="A148" s="18">
        <v>12052</v>
      </c>
      <c r="B148" s="15" t="s">
        <v>160</v>
      </c>
      <c r="C148" s="15" t="s">
        <v>158</v>
      </c>
      <c r="D148" s="24">
        <v>1</v>
      </c>
      <c r="E148" s="1" t="s">
        <v>162</v>
      </c>
      <c r="F148">
        <v>0.20030332854676583</v>
      </c>
      <c r="G148">
        <v>4.9087609170305679</v>
      </c>
      <c r="H148">
        <v>5.4196345661576482</v>
      </c>
      <c r="I148">
        <v>21.777876437594664</v>
      </c>
      <c r="J148">
        <v>5.5620064759275979E-2</v>
      </c>
      <c r="K148">
        <v>7.6472457513775689</v>
      </c>
      <c r="L148">
        <v>1.9778513741939523</v>
      </c>
      <c r="M148">
        <v>0.36741937903400906</v>
      </c>
      <c r="N148">
        <v>0.19981115637819477</v>
      </c>
      <c r="O148">
        <v>15.4062677467847</v>
      </c>
      <c r="P148" s="3">
        <v>42.266202721722713</v>
      </c>
      <c r="Q148" s="3">
        <v>3.3984459772382118</v>
      </c>
    </row>
    <row r="149" spans="1:17" x14ac:dyDescent="0.3">
      <c r="A149" s="18">
        <v>12065</v>
      </c>
      <c r="B149" s="15" t="s">
        <v>160</v>
      </c>
      <c r="C149" s="15" t="s">
        <v>158</v>
      </c>
      <c r="D149" s="24">
        <v>1</v>
      </c>
      <c r="E149" s="1" t="s">
        <v>162</v>
      </c>
      <c r="F149">
        <v>0.18200293647848448</v>
      </c>
      <c r="G149">
        <v>5.0005324758175327</v>
      </c>
      <c r="H149">
        <v>5.3003408991049579</v>
      </c>
      <c r="I149">
        <v>22.00281870288363</v>
      </c>
      <c r="J149">
        <v>5.6000107954752992E-2</v>
      </c>
      <c r="K149">
        <v>7.5000269624988452</v>
      </c>
      <c r="L149">
        <v>1.9998325076657939</v>
      </c>
      <c r="M149">
        <v>0.34200882776165109</v>
      </c>
      <c r="N149">
        <v>0.19300113602855984</v>
      </c>
      <c r="O149">
        <v>15.599906108116407</v>
      </c>
      <c r="P149" s="3">
        <v>42.413472384268331</v>
      </c>
      <c r="Q149" s="3">
        <v>3.2399174597496407</v>
      </c>
    </row>
    <row r="150" spans="1:17" x14ac:dyDescent="0.3">
      <c r="A150" s="18">
        <v>12052</v>
      </c>
      <c r="B150" s="15" t="s">
        <v>160</v>
      </c>
      <c r="C150" s="15" t="s">
        <v>158</v>
      </c>
      <c r="D150" s="24">
        <v>1</v>
      </c>
      <c r="E150" s="1" t="s">
        <v>162</v>
      </c>
      <c r="F150">
        <v>0.17600283967150163</v>
      </c>
      <c r="G150">
        <v>5.1005431253338793</v>
      </c>
      <c r="H150">
        <v>5.3503441151342246</v>
      </c>
      <c r="I150">
        <v>22.102831515169456</v>
      </c>
      <c r="J150">
        <v>5.6000107954752992E-2</v>
      </c>
      <c r="K150">
        <v>8.5000305574987003</v>
      </c>
      <c r="L150">
        <v>1.499874380749344</v>
      </c>
      <c r="M150">
        <v>0.34900900844683114</v>
      </c>
      <c r="N150">
        <v>0.21800128318251871</v>
      </c>
      <c r="O150">
        <v>15.199908515600594</v>
      </c>
      <c r="P150" s="3">
        <v>43.53527754346316</v>
      </c>
      <c r="Q150" s="3">
        <v>3.274172659706867</v>
      </c>
    </row>
    <row r="151" spans="1:17" x14ac:dyDescent="0.3">
      <c r="A151" s="18">
        <v>12022</v>
      </c>
      <c r="B151" s="15" t="s">
        <v>160</v>
      </c>
      <c r="C151" s="15" t="s">
        <v>158</v>
      </c>
      <c r="D151" s="24">
        <v>1</v>
      </c>
      <c r="E151" s="1" t="s">
        <v>162</v>
      </c>
      <c r="F151">
        <v>0.19500314622694792</v>
      </c>
      <c r="G151">
        <v>5.8006176719483333</v>
      </c>
      <c r="H151">
        <v>5.0003216029291986</v>
      </c>
      <c r="I151">
        <v>20.302600894024412</v>
      </c>
      <c r="J151">
        <v>5.6000107954752992E-2</v>
      </c>
      <c r="K151">
        <v>7.1000255244989097</v>
      </c>
      <c r="L151">
        <v>3.0997403868819795</v>
      </c>
      <c r="M151">
        <v>0.31900823408177426</v>
      </c>
      <c r="N151">
        <v>0.20700121843477648</v>
      </c>
      <c r="O151">
        <v>16.499900691276949</v>
      </c>
      <c r="P151" s="3">
        <v>44.682879124332125</v>
      </c>
      <c r="Q151" s="3">
        <v>3.2045217834569999</v>
      </c>
    </row>
    <row r="152" spans="1:17" x14ac:dyDescent="0.3">
      <c r="A152" s="18">
        <v>12004</v>
      </c>
      <c r="B152" s="15" t="s">
        <v>160</v>
      </c>
      <c r="C152" s="15" t="s">
        <v>158</v>
      </c>
      <c r="D152" s="24">
        <v>1</v>
      </c>
      <c r="E152" s="1" t="s">
        <v>162</v>
      </c>
      <c r="F152">
        <v>0.14837283596056727</v>
      </c>
      <c r="G152">
        <v>7.63451022231044</v>
      </c>
      <c r="H152">
        <v>4.2446747285726891</v>
      </c>
      <c r="I152">
        <v>20.843003012499381</v>
      </c>
      <c r="J152">
        <v>5.6450214979563679E-2</v>
      </c>
      <c r="K152">
        <v>6.4679975747632721</v>
      </c>
      <c r="L152">
        <v>1.7261248356601766</v>
      </c>
      <c r="M152">
        <v>0.37631407536071693</v>
      </c>
      <c r="N152">
        <v>0.2245939354638623</v>
      </c>
      <c r="O152">
        <v>17.124121012193086</v>
      </c>
      <c r="P152" s="3">
        <v>50.602186831981278</v>
      </c>
      <c r="Q152" s="3">
        <v>4.3982130213325998</v>
      </c>
    </row>
    <row r="153" spans="1:17" x14ac:dyDescent="0.3">
      <c r="A153" s="18">
        <v>12022</v>
      </c>
      <c r="B153" s="15" t="s">
        <v>160</v>
      </c>
      <c r="C153" s="15" t="s">
        <v>158</v>
      </c>
      <c r="D153" s="24">
        <v>1</v>
      </c>
      <c r="E153" s="1" t="s">
        <v>162</v>
      </c>
      <c r="F153">
        <v>0.26707110472902107</v>
      </c>
      <c r="G153">
        <v>7.8395444620881296</v>
      </c>
      <c r="H153">
        <v>5.8218730691146607</v>
      </c>
      <c r="I153">
        <v>16.82772165171513</v>
      </c>
      <c r="J153">
        <v>5.6450214979563679E-2</v>
      </c>
      <c r="K153">
        <v>7.8616545107619871</v>
      </c>
      <c r="L153">
        <v>3.0566793964815626</v>
      </c>
      <c r="M153">
        <v>0.2668408898012356</v>
      </c>
      <c r="N153">
        <v>0.13165851389260896</v>
      </c>
      <c r="O153">
        <v>17.100801737097044</v>
      </c>
      <c r="P153" s="3">
        <v>51.298540089857518</v>
      </c>
      <c r="Q153" s="3">
        <v>2.3231930751199115</v>
      </c>
    </row>
    <row r="154" spans="1:17" x14ac:dyDescent="0.3">
      <c r="A154" s="18">
        <v>12021</v>
      </c>
      <c r="B154" s="15" t="s">
        <v>160</v>
      </c>
      <c r="C154" s="15" t="s">
        <v>158</v>
      </c>
      <c r="D154" s="24">
        <v>1</v>
      </c>
      <c r="E154" s="1" t="s">
        <v>162</v>
      </c>
      <c r="F154">
        <v>0.22000354958937704</v>
      </c>
      <c r="G154">
        <v>4.2004472796867249</v>
      </c>
      <c r="H154">
        <v>6.2003987876321798</v>
      </c>
      <c r="I154">
        <v>21.202716204596957</v>
      </c>
      <c r="J154">
        <v>5.7000109882516387E-2</v>
      </c>
      <c r="K154">
        <v>8.3000298384987143</v>
      </c>
      <c r="L154">
        <v>2.0998241330490792</v>
      </c>
      <c r="M154">
        <v>0.22400578192576029</v>
      </c>
      <c r="N154">
        <v>0.19900117134551015</v>
      </c>
      <c r="O154">
        <v>15.599906108116407</v>
      </c>
      <c r="P154" s="3">
        <v>38.221057209939488</v>
      </c>
      <c r="Q154" s="3">
        <v>1.8402517706034418</v>
      </c>
    </row>
    <row r="155" spans="1:17" x14ac:dyDescent="0.3">
      <c r="A155" s="18">
        <v>12038</v>
      </c>
      <c r="B155" s="15" t="s">
        <v>160</v>
      </c>
      <c r="C155" s="15" t="s">
        <v>158</v>
      </c>
      <c r="D155" s="24">
        <v>1</v>
      </c>
      <c r="E155" s="1" t="s">
        <v>162</v>
      </c>
      <c r="F155">
        <v>0.46200745413769212</v>
      </c>
      <c r="G155">
        <v>4.5004792282357764</v>
      </c>
      <c r="H155">
        <v>6.4004116517493514</v>
      </c>
      <c r="I155">
        <v>21.60276745374027</v>
      </c>
      <c r="J155">
        <v>5.7000109882516387E-2</v>
      </c>
      <c r="K155">
        <v>7.6000273219988017</v>
      </c>
      <c r="L155">
        <v>1.9998325076657939</v>
      </c>
      <c r="M155">
        <v>0.21600557542841123</v>
      </c>
      <c r="N155">
        <v>0.18900111248392631</v>
      </c>
      <c r="O155">
        <v>13.799916941795248</v>
      </c>
      <c r="P155" s="3">
        <v>42.835135066046924</v>
      </c>
      <c r="Q155" s="3">
        <v>1.7211601329291566</v>
      </c>
    </row>
    <row r="156" spans="1:17" x14ac:dyDescent="0.3">
      <c r="A156" s="18">
        <v>12052</v>
      </c>
      <c r="B156" s="15" t="s">
        <v>160</v>
      </c>
      <c r="C156" s="15" t="s">
        <v>158</v>
      </c>
      <c r="D156" s="24">
        <v>1</v>
      </c>
      <c r="E156" s="1" t="s">
        <v>162</v>
      </c>
      <c r="F156">
        <v>0.33383888091127639</v>
      </c>
      <c r="G156">
        <v>6.0304188169908688</v>
      </c>
      <c r="H156">
        <v>5.8218730691146607</v>
      </c>
      <c r="I156">
        <v>19.632341927000983</v>
      </c>
      <c r="J156">
        <v>5.7280365199851385E-2</v>
      </c>
      <c r="K156">
        <v>7.8616545107619871</v>
      </c>
      <c r="L156">
        <v>2.1576560445752211</v>
      </c>
      <c r="M156">
        <v>0.36947200126324931</v>
      </c>
      <c r="N156">
        <v>0.24008317239240456</v>
      </c>
      <c r="O156">
        <v>16.323492567228996</v>
      </c>
      <c r="P156" s="3">
        <v>45.911872517292679</v>
      </c>
      <c r="Q156" s="3">
        <v>3.1882408003613611</v>
      </c>
    </row>
    <row r="157" spans="1:17" x14ac:dyDescent="0.3">
      <c r="A157" s="18">
        <v>12020</v>
      </c>
      <c r="B157" s="15" t="s">
        <v>160</v>
      </c>
      <c r="C157" s="15" t="s">
        <v>158</v>
      </c>
      <c r="D157" s="24">
        <v>1</v>
      </c>
      <c r="E157" s="1" t="s">
        <v>162</v>
      </c>
      <c r="F157">
        <v>0.16061359492731409</v>
      </c>
      <c r="G157">
        <v>9.7089742953553007</v>
      </c>
      <c r="H157">
        <v>4.4457939800511959</v>
      </c>
      <c r="I157">
        <v>19.725829269510513</v>
      </c>
      <c r="J157">
        <v>5.7280365199851385E-2</v>
      </c>
      <c r="K157">
        <v>6.2535888153788539</v>
      </c>
      <c r="L157">
        <v>1.7081443686220499</v>
      </c>
      <c r="M157">
        <v>0.41873493476501589</v>
      </c>
      <c r="N157">
        <v>0.19864946360855409</v>
      </c>
      <c r="O157">
        <v>16.945339903123436</v>
      </c>
      <c r="P157" s="3">
        <v>56.83091113731944</v>
      </c>
      <c r="Q157" s="3">
        <v>4.6598291167211325</v>
      </c>
    </row>
    <row r="158" spans="1:17" x14ac:dyDescent="0.3">
      <c r="A158" s="18">
        <v>12064</v>
      </c>
      <c r="B158" s="15" t="s">
        <v>160</v>
      </c>
      <c r="C158" s="15" t="s">
        <v>158</v>
      </c>
      <c r="D158" s="24">
        <v>1</v>
      </c>
      <c r="E158" s="1" t="s">
        <v>162</v>
      </c>
      <c r="F158">
        <v>0.22255925394085091</v>
      </c>
      <c r="G158">
        <v>3.8474072052401742</v>
      </c>
      <c r="H158">
        <v>5.5572424750639948</v>
      </c>
      <c r="I158">
        <v>21.693737829336087</v>
      </c>
      <c r="J158">
        <v>5.8110515420139085E-2</v>
      </c>
      <c r="K158">
        <v>8.3690885746384431</v>
      </c>
      <c r="L158">
        <v>2.4813044512615039</v>
      </c>
      <c r="M158">
        <v>0.25999881570376804</v>
      </c>
      <c r="N158">
        <v>0.2091046985353201</v>
      </c>
      <c r="O158">
        <v>15.507317938867546</v>
      </c>
      <c r="P158" s="3">
        <v>36.308143364708393</v>
      </c>
      <c r="Q158" s="3">
        <v>2.370272635695688</v>
      </c>
    </row>
    <row r="159" spans="1:17" x14ac:dyDescent="0.3">
      <c r="A159" s="18">
        <v>12064</v>
      </c>
      <c r="B159" s="15" t="s">
        <v>160</v>
      </c>
      <c r="C159" s="15" t="s">
        <v>158</v>
      </c>
      <c r="D159" s="24">
        <v>1</v>
      </c>
      <c r="E159" s="1" t="s">
        <v>162</v>
      </c>
      <c r="F159">
        <v>0.22255925394085091</v>
      </c>
      <c r="G159">
        <v>3.8474072052401742</v>
      </c>
      <c r="H159">
        <v>5.5572424750639948</v>
      </c>
      <c r="I159">
        <v>21.693737829336087</v>
      </c>
      <c r="J159">
        <v>5.8110515420139085E-2</v>
      </c>
      <c r="K159">
        <v>8.3690885746384431</v>
      </c>
      <c r="L159">
        <v>2.4813044512615039</v>
      </c>
      <c r="M159">
        <v>0.25999881570376804</v>
      </c>
      <c r="N159">
        <v>0.2091046985353201</v>
      </c>
      <c r="O159">
        <v>15.507317938867546</v>
      </c>
      <c r="P159" s="3">
        <v>36.308143364708393</v>
      </c>
      <c r="Q159" s="3">
        <v>2.370272635695688</v>
      </c>
    </row>
    <row r="160" spans="1:17" x14ac:dyDescent="0.3">
      <c r="A160" s="18">
        <v>12064</v>
      </c>
      <c r="B160" s="15" t="s">
        <v>160</v>
      </c>
      <c r="C160" s="15" t="s">
        <v>158</v>
      </c>
      <c r="D160" s="24">
        <v>1</v>
      </c>
      <c r="E160" s="1" t="s">
        <v>162</v>
      </c>
      <c r="F160">
        <v>0.20030332854676583</v>
      </c>
      <c r="G160">
        <v>3.9800764192139733</v>
      </c>
      <c r="H160">
        <v>5.8007026215906086</v>
      </c>
      <c r="I160">
        <v>21.590901752575604</v>
      </c>
      <c r="J160">
        <v>5.8110515420139085E-2</v>
      </c>
      <c r="K160">
        <v>8.4619990370383569</v>
      </c>
      <c r="L160">
        <v>2.2955062918675266</v>
      </c>
      <c r="M160">
        <v>0.24631466750883285</v>
      </c>
      <c r="N160">
        <v>0.201360080071049</v>
      </c>
      <c r="O160">
        <v>15.414040838483379</v>
      </c>
      <c r="P160" s="3">
        <v>37.236600960302518</v>
      </c>
      <c r="Q160" s="3">
        <v>2.1559966858254893</v>
      </c>
    </row>
    <row r="161" spans="1:17" x14ac:dyDescent="0.3">
      <c r="A161" s="18">
        <v>12054</v>
      </c>
      <c r="B161" s="15" t="s">
        <v>160</v>
      </c>
      <c r="C161" s="15" t="s">
        <v>158</v>
      </c>
      <c r="D161" s="24">
        <v>1</v>
      </c>
      <c r="E161" s="1" t="s">
        <v>162</v>
      </c>
      <c r="F161">
        <v>0.22997789573887928</v>
      </c>
      <c r="G161">
        <v>4.0765631202858277</v>
      </c>
      <c r="H161">
        <v>5.541364639420955</v>
      </c>
      <c r="I161">
        <v>21.436647637434884</v>
      </c>
      <c r="J161">
        <v>5.8110515420139085E-2</v>
      </c>
      <c r="K161">
        <v>8.5263216648536826</v>
      </c>
      <c r="L161">
        <v>2.7749854128842424</v>
      </c>
      <c r="M161">
        <v>0.22578844521643016</v>
      </c>
      <c r="N161">
        <v>0.2245939354638623</v>
      </c>
      <c r="O161">
        <v>15.165301904125606</v>
      </c>
      <c r="P161" s="3">
        <v>38.181350942103236</v>
      </c>
      <c r="Q161" s="3">
        <v>2.0706283448731018</v>
      </c>
    </row>
    <row r="162" spans="1:17" x14ac:dyDescent="0.3">
      <c r="A162" s="18">
        <v>12038</v>
      </c>
      <c r="B162" s="15" t="s">
        <v>160</v>
      </c>
      <c r="C162" s="15" t="s">
        <v>158</v>
      </c>
      <c r="D162" s="24">
        <v>1</v>
      </c>
      <c r="E162" s="1" t="s">
        <v>162</v>
      </c>
      <c r="F162">
        <v>0.4747930750738153</v>
      </c>
      <c r="G162">
        <v>4.2755669412465265</v>
      </c>
      <c r="H162">
        <v>6.4146455997881535</v>
      </c>
      <c r="I162">
        <v>21.992897325366577</v>
      </c>
      <c r="J162">
        <v>5.8110515420139085E-2</v>
      </c>
      <c r="K162">
        <v>8.1904146084847618</v>
      </c>
      <c r="L162">
        <v>1.929903462092281</v>
      </c>
      <c r="M162">
        <v>0.23263051931389772</v>
      </c>
      <c r="N162">
        <v>0.18587084314250674</v>
      </c>
      <c r="O162">
        <v>13.921607232336729</v>
      </c>
      <c r="P162" s="3">
        <v>41.371528987622504</v>
      </c>
      <c r="Q162" s="3">
        <v>1.8471457252415693</v>
      </c>
    </row>
    <row r="163" spans="1:17" x14ac:dyDescent="0.3">
      <c r="A163" s="18">
        <v>12055</v>
      </c>
      <c r="B163" s="15" t="s">
        <v>160</v>
      </c>
      <c r="C163" s="15" t="s">
        <v>158</v>
      </c>
      <c r="D163" s="24">
        <v>1</v>
      </c>
      <c r="E163" s="1" t="s">
        <v>162</v>
      </c>
      <c r="F163">
        <v>0.20030332854676583</v>
      </c>
      <c r="G163">
        <v>4.4986924374751887</v>
      </c>
      <c r="H163">
        <v>5.3720010592285288</v>
      </c>
      <c r="I163">
        <v>21.969525489739194</v>
      </c>
      <c r="J163">
        <v>5.8110515420139085E-2</v>
      </c>
      <c r="K163">
        <v>7.9331240972234598</v>
      </c>
      <c r="L163">
        <v>2.1097081324735494</v>
      </c>
      <c r="M163">
        <v>0.32157748258097624</v>
      </c>
      <c r="N163">
        <v>0.2245939354638623</v>
      </c>
      <c r="O163">
        <v>15.188621179221647</v>
      </c>
      <c r="P163" s="3">
        <v>40.495481513965586</v>
      </c>
      <c r="Q163" s="3">
        <v>3.0127856229649548</v>
      </c>
    </row>
    <row r="164" spans="1:17" x14ac:dyDescent="0.3">
      <c r="A164" s="18">
        <v>12021</v>
      </c>
      <c r="B164" s="15" t="s">
        <v>160</v>
      </c>
      <c r="C164" s="15" t="s">
        <v>158</v>
      </c>
      <c r="D164" s="24">
        <v>1</v>
      </c>
      <c r="E164" s="1" t="s">
        <v>162</v>
      </c>
      <c r="F164">
        <v>0.2596524629309927</v>
      </c>
      <c r="G164">
        <v>4.5831183009130605</v>
      </c>
      <c r="H164">
        <v>5.583705534469062</v>
      </c>
      <c r="I164">
        <v>21.71710966496347</v>
      </c>
      <c r="J164">
        <v>5.8110515420139085E-2</v>
      </c>
      <c r="K164">
        <v>8.1260919806694361</v>
      </c>
      <c r="L164">
        <v>2.0617602203718777</v>
      </c>
      <c r="M164">
        <v>0.27368296389870322</v>
      </c>
      <c r="N164">
        <v>0.201360080071049</v>
      </c>
      <c r="O164">
        <v>15.297444463003174</v>
      </c>
      <c r="P164" s="3">
        <v>40.771772269044305</v>
      </c>
      <c r="Q164" s="3">
        <v>2.4803980445162739</v>
      </c>
    </row>
    <row r="165" spans="1:17" x14ac:dyDescent="0.3">
      <c r="A165" s="18">
        <v>12065</v>
      </c>
      <c r="B165" s="15" t="s">
        <v>160</v>
      </c>
      <c r="C165" s="15" t="s">
        <v>158</v>
      </c>
      <c r="D165" s="24">
        <v>1</v>
      </c>
      <c r="E165" s="1" t="s">
        <v>162</v>
      </c>
      <c r="F165">
        <v>0.18546604495070909</v>
      </c>
      <c r="G165">
        <v>4.8544871476776503</v>
      </c>
      <c r="H165">
        <v>5.6789725483273017</v>
      </c>
      <c r="I165">
        <v>21.567529916948224</v>
      </c>
      <c r="J165">
        <v>5.8110515420139085E-2</v>
      </c>
      <c r="K165">
        <v>7.833066676177399</v>
      </c>
      <c r="L165">
        <v>2.0018253302447881</v>
      </c>
      <c r="M165">
        <v>0.32157748258097624</v>
      </c>
      <c r="N165">
        <v>0.201360080071049</v>
      </c>
      <c r="O165">
        <v>15.437360113579421</v>
      </c>
      <c r="P165" s="3">
        <v>41.94603287580766</v>
      </c>
      <c r="Q165" s="3">
        <v>2.85458112495217</v>
      </c>
    </row>
    <row r="166" spans="1:17" x14ac:dyDescent="0.3">
      <c r="A166" s="18">
        <v>12052</v>
      </c>
      <c r="B166" s="15" t="s">
        <v>160</v>
      </c>
      <c r="C166" s="15" t="s">
        <v>158</v>
      </c>
      <c r="D166" s="24">
        <v>1</v>
      </c>
      <c r="E166" s="1" t="s">
        <v>162</v>
      </c>
      <c r="F166">
        <v>0.2077219703447942</v>
      </c>
      <c r="G166">
        <v>5.0896734815402933</v>
      </c>
      <c r="H166">
        <v>5.4460976255627145</v>
      </c>
      <c r="I166">
        <v>21.731132766339901</v>
      </c>
      <c r="J166">
        <v>5.8110515420139085E-2</v>
      </c>
      <c r="K166">
        <v>7.7330092551313365</v>
      </c>
      <c r="L166">
        <v>1.9059295060414452</v>
      </c>
      <c r="M166">
        <v>0.37631407536071693</v>
      </c>
      <c r="N166">
        <v>0.2091046985353201</v>
      </c>
      <c r="O166">
        <v>15.491771755470186</v>
      </c>
      <c r="P166" s="3">
        <v>43.016023131533238</v>
      </c>
      <c r="Q166" s="3">
        <v>3.4615419657138498</v>
      </c>
    </row>
    <row r="167" spans="1:17" x14ac:dyDescent="0.3">
      <c r="A167" s="18">
        <v>12056</v>
      </c>
      <c r="B167" s="15" t="s">
        <v>160</v>
      </c>
      <c r="C167" s="15" t="s">
        <v>158</v>
      </c>
      <c r="D167" s="24">
        <v>1</v>
      </c>
      <c r="E167" s="1" t="s">
        <v>162</v>
      </c>
      <c r="F167">
        <v>0.21514061214282254</v>
      </c>
      <c r="G167">
        <v>5.6082894998015087</v>
      </c>
      <c r="H167">
        <v>4.6680836790537557</v>
      </c>
      <c r="I167">
        <v>20.305450793069589</v>
      </c>
      <c r="J167">
        <v>5.8110515420139085E-2</v>
      </c>
      <c r="K167">
        <v>7.2970447777163541</v>
      </c>
      <c r="L167">
        <v>3.0386989294434361</v>
      </c>
      <c r="M167">
        <v>0.3284195566784438</v>
      </c>
      <c r="N167">
        <v>0.2245939354638623</v>
      </c>
      <c r="O167">
        <v>16.789878069149825</v>
      </c>
      <c r="P167" s="3">
        <v>43.422527203857555</v>
      </c>
      <c r="Q167" s="3">
        <v>3.5222622816900424</v>
      </c>
    </row>
    <row r="168" spans="1:17" x14ac:dyDescent="0.3">
      <c r="A168" s="18">
        <v>12022</v>
      </c>
      <c r="B168" s="15" t="s">
        <v>160</v>
      </c>
      <c r="C168" s="15" t="s">
        <v>158</v>
      </c>
      <c r="D168" s="24">
        <v>1</v>
      </c>
      <c r="E168" s="1" t="s">
        <v>162</v>
      </c>
      <c r="F168">
        <v>0.34867616450733308</v>
      </c>
      <c r="G168">
        <v>6.2716355696705044</v>
      </c>
      <c r="H168">
        <v>4.7845211404360484</v>
      </c>
      <c r="I168">
        <v>20.193265982058154</v>
      </c>
      <c r="J168">
        <v>5.8110515420139085E-2</v>
      </c>
      <c r="K168">
        <v>6.8324924657167818</v>
      </c>
      <c r="L168">
        <v>3.0926403305578165</v>
      </c>
      <c r="M168">
        <v>0.38315614945818449</v>
      </c>
      <c r="N168">
        <v>0.19361546160677787</v>
      </c>
      <c r="O168">
        <v>16.634416235176214</v>
      </c>
      <c r="P168" s="3">
        <v>46.417680199433029</v>
      </c>
      <c r="Q168" s="3">
        <v>3.9898685657208297</v>
      </c>
    </row>
    <row r="169" spans="1:17" x14ac:dyDescent="0.3">
      <c r="A169" s="18">
        <v>12022</v>
      </c>
      <c r="B169" s="15" t="s">
        <v>160</v>
      </c>
      <c r="C169" s="15" t="s">
        <v>158</v>
      </c>
      <c r="D169" s="24">
        <v>1</v>
      </c>
      <c r="E169" s="1" t="s">
        <v>162</v>
      </c>
      <c r="F169">
        <v>0.21514061214282254</v>
      </c>
      <c r="G169">
        <v>6.983224990075426</v>
      </c>
      <c r="H169">
        <v>4.8268620354841554</v>
      </c>
      <c r="I169">
        <v>19.786596042141706</v>
      </c>
      <c r="J169">
        <v>5.8110515420139085E-2</v>
      </c>
      <c r="K169">
        <v>6.6967002514399834</v>
      </c>
      <c r="L169">
        <v>2.721044011769862</v>
      </c>
      <c r="M169">
        <v>0.41052444584805475</v>
      </c>
      <c r="N169">
        <v>0.201360080071049</v>
      </c>
      <c r="O169">
        <v>17.147440287289125</v>
      </c>
      <c r="P169" s="3">
        <v>48.339606754852021</v>
      </c>
      <c r="Q169" s="3">
        <v>4.2268991819811488</v>
      </c>
    </row>
    <row r="170" spans="1:17" x14ac:dyDescent="0.3">
      <c r="A170" s="18">
        <v>12045</v>
      </c>
      <c r="B170" s="15" t="s">
        <v>160</v>
      </c>
      <c r="C170" s="15" t="s">
        <v>158</v>
      </c>
      <c r="D170" s="24">
        <v>1</v>
      </c>
      <c r="E170" s="1" t="s">
        <v>162</v>
      </c>
      <c r="F170">
        <v>0.19288468674873746</v>
      </c>
      <c r="G170">
        <v>6.9952858277094077</v>
      </c>
      <c r="H170">
        <v>4.2658451760967431</v>
      </c>
      <c r="I170">
        <v>19.772572940765276</v>
      </c>
      <c r="J170">
        <v>5.8110515420139085E-2</v>
      </c>
      <c r="K170">
        <v>6.4965854093478601</v>
      </c>
      <c r="L170">
        <v>2.8648877480748767</v>
      </c>
      <c r="M170">
        <v>0.40368237175058719</v>
      </c>
      <c r="N170">
        <v>0.2245939354638623</v>
      </c>
      <c r="O170">
        <v>17.178532654083849</v>
      </c>
      <c r="P170" s="3">
        <v>48.337459909722625</v>
      </c>
      <c r="Q170" s="3">
        <v>4.6807918027080113</v>
      </c>
    </row>
    <row r="171" spans="1:17" x14ac:dyDescent="0.3">
      <c r="A171" s="18">
        <v>12045</v>
      </c>
      <c r="B171" s="15" t="s">
        <v>160</v>
      </c>
      <c r="C171" s="15" t="s">
        <v>158</v>
      </c>
      <c r="D171" s="24">
        <v>1</v>
      </c>
      <c r="E171" s="1" t="s">
        <v>162</v>
      </c>
      <c r="F171">
        <v>0.19288468674873746</v>
      </c>
      <c r="G171">
        <v>7.0133770841603811</v>
      </c>
      <c r="H171">
        <v>4.2658451760967431</v>
      </c>
      <c r="I171">
        <v>19.772572940765276</v>
      </c>
      <c r="J171">
        <v>5.8110515420139085E-2</v>
      </c>
      <c r="K171">
        <v>6.4965854093478601</v>
      </c>
      <c r="L171">
        <v>2.8648877480748767</v>
      </c>
      <c r="M171">
        <v>0.40368237175058719</v>
      </c>
      <c r="N171">
        <v>0.2245939354638623</v>
      </c>
      <c r="O171">
        <v>17.170759562385168</v>
      </c>
      <c r="P171" s="3">
        <v>48.413266263585939</v>
      </c>
      <c r="Q171" s="3">
        <v>4.6807918027080113</v>
      </c>
    </row>
    <row r="172" spans="1:17" x14ac:dyDescent="0.3">
      <c r="A172" s="18">
        <v>12004</v>
      </c>
      <c r="B172" s="15" t="s">
        <v>160</v>
      </c>
      <c r="C172" s="15" t="s">
        <v>158</v>
      </c>
      <c r="D172" s="24">
        <v>1</v>
      </c>
      <c r="E172" s="1" t="s">
        <v>162</v>
      </c>
      <c r="F172">
        <v>0.17062876135465238</v>
      </c>
      <c r="G172">
        <v>7.5561147776895581</v>
      </c>
      <c r="H172">
        <v>4.5040127107423427</v>
      </c>
      <c r="I172">
        <v>21.146836875655346</v>
      </c>
      <c r="J172">
        <v>5.8110515420139085E-2</v>
      </c>
      <c r="K172">
        <v>6.4251158228863883</v>
      </c>
      <c r="L172">
        <v>1.6781769235585051</v>
      </c>
      <c r="M172">
        <v>0.46526103862779544</v>
      </c>
      <c r="N172">
        <v>0.21684931699959123</v>
      </c>
      <c r="O172">
        <v>16.051434357775179</v>
      </c>
      <c r="P172" s="3">
        <v>51.960415286518376</v>
      </c>
      <c r="Q172" s="3">
        <v>5.0877253965513383</v>
      </c>
    </row>
    <row r="173" spans="1:17" x14ac:dyDescent="0.3">
      <c r="A173" s="18">
        <v>12004</v>
      </c>
      <c r="B173" s="15" t="s">
        <v>160</v>
      </c>
      <c r="C173" s="15" t="s">
        <v>158</v>
      </c>
      <c r="D173" s="24">
        <v>1</v>
      </c>
      <c r="E173" s="1" t="s">
        <v>162</v>
      </c>
      <c r="F173">
        <v>0.17062876135465238</v>
      </c>
      <c r="G173">
        <v>7.5561147776895581</v>
      </c>
      <c r="H173">
        <v>4.5040127107423427</v>
      </c>
      <c r="I173">
        <v>21.146836875655346</v>
      </c>
      <c r="J173">
        <v>5.8110515420139085E-2</v>
      </c>
      <c r="K173">
        <v>6.4251158228863883</v>
      </c>
      <c r="L173">
        <v>1.6781769235585051</v>
      </c>
      <c r="M173">
        <v>0.46526103862779544</v>
      </c>
      <c r="N173">
        <v>0.21684931699959123</v>
      </c>
      <c r="O173">
        <v>16.051434357775179</v>
      </c>
      <c r="P173" s="3">
        <v>51.960415286518376</v>
      </c>
      <c r="Q173" s="3">
        <v>5.0877253965513383</v>
      </c>
    </row>
    <row r="174" spans="1:17" x14ac:dyDescent="0.3">
      <c r="A174" s="18">
        <v>12075</v>
      </c>
      <c r="B174" s="15" t="s">
        <v>160</v>
      </c>
      <c r="C174" s="15" t="s">
        <v>158</v>
      </c>
      <c r="D174" s="24">
        <v>1</v>
      </c>
      <c r="E174" s="1" t="s">
        <v>162</v>
      </c>
      <c r="F174">
        <v>0.17062876135465238</v>
      </c>
      <c r="G174">
        <v>8.6838030964668516</v>
      </c>
      <c r="H174">
        <v>4.1652855503574893</v>
      </c>
      <c r="I174">
        <v>20.941164722134381</v>
      </c>
      <c r="J174">
        <v>5.8110515420139085E-2</v>
      </c>
      <c r="K174">
        <v>6.0963557251636136</v>
      </c>
      <c r="L174">
        <v>1.5283396982407813</v>
      </c>
      <c r="M174">
        <v>0.41052444584805475</v>
      </c>
      <c r="N174">
        <v>0.2091046985353201</v>
      </c>
      <c r="O174">
        <v>16.09029981626858</v>
      </c>
      <c r="P174" s="3">
        <v>55.357872107627472</v>
      </c>
      <c r="Q174" s="3">
        <v>4.8655960281168174</v>
      </c>
    </row>
    <row r="175" spans="1:17" x14ac:dyDescent="0.3">
      <c r="A175" s="18">
        <v>12052</v>
      </c>
      <c r="B175" s="15" t="s">
        <v>160</v>
      </c>
      <c r="C175" s="15" t="s">
        <v>158</v>
      </c>
      <c r="D175" s="24">
        <v>1</v>
      </c>
      <c r="E175" s="1" t="s">
        <v>162</v>
      </c>
      <c r="F175">
        <v>0.19288468674873746</v>
      </c>
      <c r="G175">
        <v>4.8665479853116311</v>
      </c>
      <c r="H175">
        <v>5.2661488216082608</v>
      </c>
      <c r="I175">
        <v>21.562855549822746</v>
      </c>
      <c r="J175">
        <v>5.8940665640426777E-2</v>
      </c>
      <c r="K175">
        <v>7.7830379656543682</v>
      </c>
      <c r="L175">
        <v>2.0078188192574973</v>
      </c>
      <c r="M175">
        <v>0.31473540848350867</v>
      </c>
      <c r="N175">
        <v>0.21684931699959123</v>
      </c>
      <c r="O175">
        <v>16.09029981626858</v>
      </c>
      <c r="P175" s="3">
        <v>41.000762987008855</v>
      </c>
      <c r="Q175" s="3">
        <v>3.0080991725582904</v>
      </c>
    </row>
    <row r="176" spans="1:17" x14ac:dyDescent="0.3">
      <c r="A176" s="18">
        <v>12065</v>
      </c>
      <c r="B176" s="15" t="s">
        <v>160</v>
      </c>
      <c r="C176" s="15" t="s">
        <v>158</v>
      </c>
      <c r="D176" s="24">
        <v>1</v>
      </c>
      <c r="E176" s="1" t="s">
        <v>162</v>
      </c>
      <c r="F176">
        <v>0.28932703012310618</v>
      </c>
      <c r="G176">
        <v>5.4273769352917824</v>
      </c>
      <c r="H176">
        <v>6.3511342572159943</v>
      </c>
      <c r="I176">
        <v>18.230031789358055</v>
      </c>
      <c r="J176">
        <v>5.9770815860714477E-2</v>
      </c>
      <c r="K176">
        <v>9.0051678941455489</v>
      </c>
      <c r="L176">
        <v>2.2775258248293997</v>
      </c>
      <c r="M176">
        <v>0.34894577897084655</v>
      </c>
      <c r="N176">
        <v>0.3175293570351157</v>
      </c>
      <c r="O176">
        <v>17.100801737097044</v>
      </c>
      <c r="P176" s="3">
        <v>42.170661143010676</v>
      </c>
      <c r="Q176" s="3">
        <v>2.7720557603593994</v>
      </c>
    </row>
    <row r="177" spans="1:17" x14ac:dyDescent="0.3">
      <c r="A177" s="18">
        <v>12038</v>
      </c>
      <c r="B177" s="15" t="s">
        <v>160</v>
      </c>
      <c r="C177" s="15" t="s">
        <v>158</v>
      </c>
      <c r="D177" s="24">
        <v>1</v>
      </c>
      <c r="E177" s="1" t="s">
        <v>162</v>
      </c>
      <c r="F177">
        <v>0.48963035866987203</v>
      </c>
      <c r="G177">
        <v>4.0464110262008735</v>
      </c>
      <c r="H177">
        <v>6.6316426869097</v>
      </c>
      <c r="I177">
        <v>21.763853336218233</v>
      </c>
      <c r="J177">
        <v>6.0600966081002176E-2</v>
      </c>
      <c r="K177">
        <v>8.3047659468231174</v>
      </c>
      <c r="L177">
        <v>1.9838448632066614</v>
      </c>
      <c r="M177">
        <v>0.18473600063162465</v>
      </c>
      <c r="N177">
        <v>0.2091046985353201</v>
      </c>
      <c r="O177">
        <v>13.983791965926173</v>
      </c>
      <c r="P177" s="3">
        <v>39.935083041583667</v>
      </c>
      <c r="Q177" s="3">
        <v>1.4249564756186133</v>
      </c>
    </row>
    <row r="178" spans="1:17" x14ac:dyDescent="0.3">
      <c r="A178" s="18">
        <v>12065</v>
      </c>
      <c r="B178" s="15" t="s">
        <v>160</v>
      </c>
      <c r="C178" s="15" t="s">
        <v>158</v>
      </c>
      <c r="D178" s="24">
        <v>1</v>
      </c>
      <c r="E178" s="1" t="s">
        <v>162</v>
      </c>
      <c r="F178">
        <v>0.20030332854676583</v>
      </c>
      <c r="G178">
        <v>4.71578751488686</v>
      </c>
      <c r="H178">
        <v>5.3190749404183952</v>
      </c>
      <c r="I178">
        <v>21.908758717108</v>
      </c>
      <c r="J178">
        <v>6.0600966081002176E-2</v>
      </c>
      <c r="K178">
        <v>7.6686866273160117</v>
      </c>
      <c r="L178">
        <v>2.0018253302447881</v>
      </c>
      <c r="M178">
        <v>0.34210370487337899</v>
      </c>
      <c r="N178">
        <v>0.19826223268534054</v>
      </c>
      <c r="O178">
        <v>15.359629196592618</v>
      </c>
      <c r="P178" s="3">
        <v>41.364221913047942</v>
      </c>
      <c r="Q178" s="3">
        <v>3.2297415608070335</v>
      </c>
    </row>
    <row r="179" spans="1:17" x14ac:dyDescent="0.3">
      <c r="A179" s="18">
        <v>12065</v>
      </c>
      <c r="B179" s="15" t="s">
        <v>160</v>
      </c>
      <c r="C179" s="15" t="s">
        <v>158</v>
      </c>
      <c r="D179" s="24">
        <v>1</v>
      </c>
      <c r="E179" s="1" t="s">
        <v>162</v>
      </c>
      <c r="F179">
        <v>0.20030332854676583</v>
      </c>
      <c r="G179">
        <v>4.71578751488686</v>
      </c>
      <c r="H179">
        <v>5.3190749404183952</v>
      </c>
      <c r="I179">
        <v>21.908758717108</v>
      </c>
      <c r="J179">
        <v>6.0600966081002176E-2</v>
      </c>
      <c r="K179">
        <v>7.6686866273160117</v>
      </c>
      <c r="L179">
        <v>2.0018253302447881</v>
      </c>
      <c r="M179">
        <v>0.34210370487337899</v>
      </c>
      <c r="N179">
        <v>0.19826223268534054</v>
      </c>
      <c r="O179">
        <v>15.359629196592618</v>
      </c>
      <c r="P179" s="3">
        <v>41.364221913047942</v>
      </c>
      <c r="Q179" s="3">
        <v>3.2297415608070335</v>
      </c>
    </row>
    <row r="180" spans="1:17" x14ac:dyDescent="0.3">
      <c r="A180" s="18">
        <v>12065</v>
      </c>
      <c r="B180" s="15" t="s">
        <v>160</v>
      </c>
      <c r="C180" s="15" t="s">
        <v>158</v>
      </c>
      <c r="D180" s="24">
        <v>1</v>
      </c>
      <c r="E180" s="1" t="s">
        <v>162</v>
      </c>
      <c r="F180">
        <v>0.18000290420949044</v>
      </c>
      <c r="G180">
        <v>5.1205452552371513</v>
      </c>
      <c r="H180">
        <v>5.4703518336045276</v>
      </c>
      <c r="I180">
        <v>21.902805890597801</v>
      </c>
      <c r="J180">
        <v>6.6000127232387379E-2</v>
      </c>
      <c r="K180">
        <v>7.7000276814988302</v>
      </c>
      <c r="L180">
        <v>2.0998241330490792</v>
      </c>
      <c r="M180">
        <v>0.35600918913201113</v>
      </c>
      <c r="N180">
        <v>0.22900134793026017</v>
      </c>
      <c r="O180">
        <v>15.399907311858501</v>
      </c>
      <c r="P180" s="3">
        <v>43.310285212617224</v>
      </c>
      <c r="Q180" s="3">
        <v>3.2668229869571466</v>
      </c>
    </row>
    <row r="181" spans="1:17" x14ac:dyDescent="0.3">
      <c r="A181" s="18">
        <v>12063</v>
      </c>
      <c r="B181" s="15" t="s">
        <v>160</v>
      </c>
      <c r="C181" s="15" t="s">
        <v>158</v>
      </c>
      <c r="D181" s="24">
        <v>1</v>
      </c>
      <c r="E181" s="1" t="s">
        <v>162</v>
      </c>
      <c r="F181">
        <v>0.44000709917875408</v>
      </c>
      <c r="G181">
        <v>5.5005857233992828</v>
      </c>
      <c r="H181">
        <v>6.1003923555735931</v>
      </c>
      <c r="I181">
        <v>19.602511208023568</v>
      </c>
      <c r="J181">
        <v>6.6000127232387379E-2</v>
      </c>
      <c r="K181">
        <v>8.6000309169986568</v>
      </c>
      <c r="L181">
        <v>2.4997906345822383</v>
      </c>
      <c r="M181">
        <v>0.31000800177225746</v>
      </c>
      <c r="N181">
        <v>0.20000117723166855</v>
      </c>
      <c r="O181">
        <v>16.899898283792762</v>
      </c>
      <c r="P181" s="3">
        <v>42.786797092198427</v>
      </c>
      <c r="Q181" s="3">
        <v>2.5693019848512204</v>
      </c>
    </row>
    <row r="182" spans="1:17" x14ac:dyDescent="0.3">
      <c r="A182" s="18">
        <v>12007</v>
      </c>
      <c r="B182" s="15" t="s">
        <v>160</v>
      </c>
      <c r="C182" s="15" t="s">
        <v>158</v>
      </c>
      <c r="D182" s="24">
        <v>1</v>
      </c>
      <c r="E182" s="1" t="s">
        <v>162</v>
      </c>
      <c r="F182">
        <v>0.23739653753690765</v>
      </c>
      <c r="G182">
        <v>3.5338254267566493</v>
      </c>
      <c r="H182">
        <v>5.9700662017830339</v>
      </c>
      <c r="I182">
        <v>21.698412196461565</v>
      </c>
      <c r="J182">
        <v>6.6412017623016087E-2</v>
      </c>
      <c r="K182">
        <v>8.2332963603616438</v>
      </c>
      <c r="L182">
        <v>2.3374607149564892</v>
      </c>
      <c r="M182">
        <v>0.19157807472909225</v>
      </c>
      <c r="N182">
        <v>0.21684931699959123</v>
      </c>
      <c r="O182">
        <v>14.807739685986304</v>
      </c>
      <c r="P182" s="3">
        <v>35.414442149014768</v>
      </c>
      <c r="Q182" s="3">
        <v>1.6379418067281133</v>
      </c>
    </row>
    <row r="183" spans="1:17" x14ac:dyDescent="0.3">
      <c r="A183" s="18">
        <v>12047</v>
      </c>
      <c r="B183" s="15" t="s">
        <v>160</v>
      </c>
      <c r="C183" s="15" t="s">
        <v>158</v>
      </c>
      <c r="D183" s="24">
        <v>1</v>
      </c>
      <c r="E183" s="1" t="s">
        <v>162</v>
      </c>
      <c r="F183">
        <v>0.22997789573887928</v>
      </c>
      <c r="G183">
        <v>3.9740460003969824</v>
      </c>
      <c r="H183">
        <v>5.3455379998234616</v>
      </c>
      <c r="I183">
        <v>21.095418837275105</v>
      </c>
      <c r="J183">
        <v>6.6412017623016087E-2</v>
      </c>
      <c r="K183">
        <v>8.0903571874387001</v>
      </c>
      <c r="L183">
        <v>3.1166142866086526</v>
      </c>
      <c r="M183">
        <v>0.21210429702149497</v>
      </c>
      <c r="N183">
        <v>0.2245939354638623</v>
      </c>
      <c r="O183">
        <v>15.934837982294972</v>
      </c>
      <c r="P183" s="3">
        <v>36.428237523220645</v>
      </c>
      <c r="Q183" s="3">
        <v>2.0174873528975907</v>
      </c>
    </row>
    <row r="184" spans="1:17" x14ac:dyDescent="0.3">
      <c r="A184" s="18">
        <v>12051</v>
      </c>
      <c r="B184" s="15" t="s">
        <v>160</v>
      </c>
      <c r="C184" s="15" t="s">
        <v>158</v>
      </c>
      <c r="D184" s="24">
        <v>1</v>
      </c>
      <c r="E184" s="1" t="s">
        <v>162</v>
      </c>
      <c r="F184">
        <v>0.2077219703447942</v>
      </c>
      <c r="G184">
        <v>4.3479319670504166</v>
      </c>
      <c r="H184">
        <v>5.271441433489275</v>
      </c>
      <c r="I184">
        <v>21.067372634522247</v>
      </c>
      <c r="J184">
        <v>6.6412017623016087E-2</v>
      </c>
      <c r="K184">
        <v>8.1832676498386139</v>
      </c>
      <c r="L184">
        <v>2.7689919238715337</v>
      </c>
      <c r="M184">
        <v>0.17789392653415709</v>
      </c>
      <c r="N184">
        <v>0.21684931699959123</v>
      </c>
      <c r="O184">
        <v>15.740510689827961</v>
      </c>
      <c r="P184" s="3">
        <v>38.82582607351172</v>
      </c>
      <c r="Q184" s="3">
        <v>1.7210615220743377</v>
      </c>
    </row>
    <row r="185" spans="1:17" x14ac:dyDescent="0.3">
      <c r="A185" s="18">
        <v>12065</v>
      </c>
      <c r="B185" s="15" t="s">
        <v>160</v>
      </c>
      <c r="C185" s="15" t="s">
        <v>158</v>
      </c>
      <c r="D185" s="24">
        <v>1</v>
      </c>
      <c r="E185" s="1" t="s">
        <v>162</v>
      </c>
      <c r="F185">
        <v>0.25223382113296439</v>
      </c>
      <c r="G185">
        <v>4.8484567288606586</v>
      </c>
      <c r="H185">
        <v>5.5995833701121009</v>
      </c>
      <c r="I185">
        <v>21.787225171845616</v>
      </c>
      <c r="J185">
        <v>6.6412017623016087E-2</v>
      </c>
      <c r="K185">
        <v>7.9545649731619026</v>
      </c>
      <c r="L185">
        <v>1.8879490390033182</v>
      </c>
      <c r="M185">
        <v>0.3284195566784438</v>
      </c>
      <c r="N185">
        <v>0.201360080071049</v>
      </c>
      <c r="O185">
        <v>15.048705528645398</v>
      </c>
      <c r="P185" s="3">
        <v>42.537815432997384</v>
      </c>
      <c r="Q185" s="3">
        <v>2.9536346408467575</v>
      </c>
    </row>
    <row r="186" spans="1:17" x14ac:dyDescent="0.3">
      <c r="A186" s="18">
        <v>12064</v>
      </c>
      <c r="B186" s="15" t="s">
        <v>160</v>
      </c>
      <c r="C186" s="15" t="s">
        <v>158</v>
      </c>
      <c r="D186" s="24">
        <v>1</v>
      </c>
      <c r="E186" s="1" t="s">
        <v>162</v>
      </c>
      <c r="F186">
        <v>0.31158295551719128</v>
      </c>
      <c r="G186">
        <v>4.8243350535926952</v>
      </c>
      <c r="H186">
        <v>6.3511342572159943</v>
      </c>
      <c r="I186">
        <v>18.6974685019057</v>
      </c>
      <c r="J186">
        <v>6.9732618504166899E-2</v>
      </c>
      <c r="K186">
        <v>8.5763503753767125</v>
      </c>
      <c r="L186">
        <v>2.936809616227384</v>
      </c>
      <c r="M186">
        <v>0.30105126028857349</v>
      </c>
      <c r="N186">
        <v>0.24782779085667567</v>
      </c>
      <c r="O186">
        <v>17.100801737097044</v>
      </c>
      <c r="P186" s="3">
        <v>39.327786292971318</v>
      </c>
      <c r="Q186" s="3">
        <v>2.4007117044207389</v>
      </c>
    </row>
    <row r="187" spans="1:17" x14ac:dyDescent="0.3">
      <c r="A187" s="18">
        <v>12017</v>
      </c>
      <c r="B187" s="15" t="s">
        <v>160</v>
      </c>
      <c r="C187" s="15" t="s">
        <v>158</v>
      </c>
      <c r="D187" s="24">
        <v>1</v>
      </c>
      <c r="E187" s="1" t="s">
        <v>162</v>
      </c>
      <c r="F187">
        <v>0.20030332854676583</v>
      </c>
      <c r="G187">
        <v>4.601209557364033</v>
      </c>
      <c r="H187">
        <v>5.3031971047753546</v>
      </c>
      <c r="I187">
        <v>22.09573340212706</v>
      </c>
      <c r="J187">
        <v>7.4713519825893096E-2</v>
      </c>
      <c r="K187">
        <v>7.8402136348235461</v>
      </c>
      <c r="L187">
        <v>2.0198057972829151</v>
      </c>
      <c r="M187">
        <v>0.35578785306831417</v>
      </c>
      <c r="N187">
        <v>0.2245939354638623</v>
      </c>
      <c r="O187">
        <v>15.328536829797894</v>
      </c>
      <c r="P187" s="3">
        <v>40.81788306259152</v>
      </c>
      <c r="Q187" s="3">
        <v>3.3643032343358721</v>
      </c>
    </row>
    <row r="188" spans="1:17" x14ac:dyDescent="0.3">
      <c r="A188" s="18">
        <v>12039</v>
      </c>
      <c r="B188" s="15" t="s">
        <v>160</v>
      </c>
      <c r="C188" s="15" t="s">
        <v>158</v>
      </c>
      <c r="D188" s="24">
        <v>1</v>
      </c>
      <c r="E188" s="1" t="s">
        <v>162</v>
      </c>
      <c r="F188">
        <v>0.21514061214282254</v>
      </c>
      <c r="G188">
        <v>3.4674908197697496</v>
      </c>
      <c r="H188">
        <v>5.5678276988260214</v>
      </c>
      <c r="I188">
        <v>21.544158081320841</v>
      </c>
      <c r="J188">
        <v>8.3015022028770119E-2</v>
      </c>
      <c r="K188">
        <v>8.3405007400538533</v>
      </c>
      <c r="L188">
        <v>2.6730960996681903</v>
      </c>
      <c r="M188">
        <v>0.25999881570376804</v>
      </c>
      <c r="N188">
        <v>0.2245939354638623</v>
      </c>
      <c r="O188">
        <v>15.794922331718723</v>
      </c>
      <c r="P188" s="3">
        <v>33.528902840649309</v>
      </c>
      <c r="Q188" s="3">
        <v>2.3658730254394555</v>
      </c>
    </row>
    <row r="189" spans="1:17" x14ac:dyDescent="0.3">
      <c r="A189" s="18">
        <v>12033</v>
      </c>
      <c r="B189" s="15" t="s">
        <v>160</v>
      </c>
      <c r="C189" s="15" t="s">
        <v>158</v>
      </c>
      <c r="D189" s="24">
        <v>1</v>
      </c>
      <c r="E189" s="1" t="s">
        <v>162</v>
      </c>
      <c r="F189">
        <v>0.2077219703447942</v>
      </c>
      <c r="G189">
        <v>5.3550119094878923</v>
      </c>
      <c r="H189">
        <v>7.4731679759908189</v>
      </c>
      <c r="I189">
        <v>22.114430870628965</v>
      </c>
      <c r="J189">
        <v>0.34036159031795743</v>
      </c>
      <c r="K189">
        <v>7.611510958146833</v>
      </c>
      <c r="L189">
        <v>1.5882745883678708</v>
      </c>
      <c r="M189">
        <v>0.24631466750883285</v>
      </c>
      <c r="N189">
        <v>0.1548923692854223</v>
      </c>
      <c r="O189">
        <v>11.333167696676131</v>
      </c>
      <c r="P189" s="3">
        <v>52.053774103647449</v>
      </c>
      <c r="Q189" s="3">
        <v>1.6816069909480642</v>
      </c>
    </row>
    <row r="190" spans="1:17" x14ac:dyDescent="0.3">
      <c r="A190" s="13">
        <v>14305</v>
      </c>
      <c r="B190" s="15" t="s">
        <v>160</v>
      </c>
      <c r="C190" s="15" t="s">
        <v>158</v>
      </c>
      <c r="D190" s="24">
        <v>1</v>
      </c>
      <c r="E190" s="1" t="s">
        <v>162</v>
      </c>
      <c r="F190">
        <v>0.14837283596056727</v>
      </c>
      <c r="G190">
        <v>13.146313021040095</v>
      </c>
      <c r="H190">
        <v>2.5933798216965309</v>
      </c>
      <c r="I190">
        <v>18.79095584441523</v>
      </c>
      <c r="J190">
        <v>8.3015022028770109E-3</v>
      </c>
      <c r="K190">
        <v>3.6449489095351031</v>
      </c>
      <c r="L190">
        <v>2.5772002754648469</v>
      </c>
      <c r="M190">
        <v>0.75262815072143385</v>
      </c>
      <c r="N190">
        <v>0.21684931699959123</v>
      </c>
      <c r="O190">
        <v>17.33399448805746</v>
      </c>
      <c r="P190" s="3">
        <v>63.53804966404573</v>
      </c>
      <c r="Q190" s="3">
        <v>13.088654587822756</v>
      </c>
    </row>
    <row r="191" spans="1:17" x14ac:dyDescent="0.3">
      <c r="A191" s="13">
        <v>14321</v>
      </c>
      <c r="B191" s="15" t="s">
        <v>160</v>
      </c>
      <c r="C191" s="15" t="s">
        <v>158</v>
      </c>
      <c r="D191" s="24">
        <v>1</v>
      </c>
      <c r="E191" s="1" t="s">
        <v>162</v>
      </c>
      <c r="F191">
        <v>0.30416431371916292</v>
      </c>
      <c r="G191">
        <v>6.4525481341802298</v>
      </c>
      <c r="H191">
        <v>6.1394297819754602</v>
      </c>
      <c r="I191">
        <v>21.829294475974905</v>
      </c>
      <c r="J191">
        <v>2.4904506608631034E-2</v>
      </c>
      <c r="K191">
        <v>7.3613674055316798</v>
      </c>
      <c r="L191">
        <v>1.5822810993551621</v>
      </c>
      <c r="M191">
        <v>4.1052444584803068E-2</v>
      </c>
      <c r="N191">
        <v>0.27880626471376013</v>
      </c>
      <c r="O191">
        <v>13.369717721730416</v>
      </c>
      <c r="P191" s="3">
        <v>52.582219098256886</v>
      </c>
      <c r="Q191" s="3">
        <v>0.34578873905721824</v>
      </c>
    </row>
    <row r="192" spans="1:17" x14ac:dyDescent="0.3">
      <c r="A192" s="13">
        <v>14305</v>
      </c>
      <c r="B192" s="15" t="s">
        <v>160</v>
      </c>
      <c r="C192" s="15" t="s">
        <v>158</v>
      </c>
      <c r="D192" s="24">
        <v>1</v>
      </c>
      <c r="E192" s="1" t="s">
        <v>162</v>
      </c>
      <c r="F192">
        <v>0.11869826876845382</v>
      </c>
      <c r="G192">
        <v>13.266921397379912</v>
      </c>
      <c r="H192">
        <v>2.1170447524053313</v>
      </c>
      <c r="I192">
        <v>18.650724830650933</v>
      </c>
      <c r="J192">
        <v>3.3206008811508043E-2</v>
      </c>
      <c r="K192">
        <v>4.6455231199957199</v>
      </c>
      <c r="L192">
        <v>2.1576560445752211</v>
      </c>
      <c r="M192">
        <v>0.82104889169610951</v>
      </c>
      <c r="N192">
        <v>0.15489236928542119</v>
      </c>
      <c r="O192">
        <v>17.411725405044262</v>
      </c>
      <c r="P192" s="3">
        <v>63.645899036860122</v>
      </c>
      <c r="Q192" s="3">
        <v>16.753616139574852</v>
      </c>
    </row>
    <row r="193" spans="1:17" x14ac:dyDescent="0.3">
      <c r="A193" s="13">
        <v>14321</v>
      </c>
      <c r="B193" s="15" t="s">
        <v>160</v>
      </c>
      <c r="C193" s="15" t="s">
        <v>158</v>
      </c>
      <c r="D193" s="24">
        <v>1</v>
      </c>
      <c r="E193" s="1" t="s">
        <v>162</v>
      </c>
      <c r="F193">
        <v>0.16321011955662401</v>
      </c>
      <c r="G193">
        <v>6.3922439460103213</v>
      </c>
      <c r="H193">
        <v>6.2452820195957273</v>
      </c>
      <c r="I193">
        <v>20.707446365860559</v>
      </c>
      <c r="J193">
        <v>3.3206008811508043E-2</v>
      </c>
      <c r="K193">
        <v>6.2893236086095907</v>
      </c>
      <c r="L193">
        <v>1.9478839291304078</v>
      </c>
      <c r="M193">
        <v>0.36947200126325341</v>
      </c>
      <c r="N193">
        <v>0.19361546160677787</v>
      </c>
      <c r="O193">
        <v>15.701645231334558</v>
      </c>
      <c r="P193" s="3">
        <v>48.33106469355085</v>
      </c>
      <c r="Q193" s="3">
        <v>2.9785270250054374</v>
      </c>
    </row>
    <row r="194" spans="1:17" x14ac:dyDescent="0.3">
      <c r="A194" s="13">
        <v>14305</v>
      </c>
      <c r="B194" s="15" t="s">
        <v>160</v>
      </c>
      <c r="C194" s="15" t="s">
        <v>158</v>
      </c>
      <c r="D194" s="24">
        <v>1</v>
      </c>
      <c r="E194" s="1" t="s">
        <v>162</v>
      </c>
      <c r="F194">
        <v>0.11869826876845382</v>
      </c>
      <c r="G194">
        <v>13.266921397379912</v>
      </c>
      <c r="H194">
        <v>2.1170447524053313</v>
      </c>
      <c r="I194">
        <v>18.650724830650933</v>
      </c>
      <c r="J194">
        <v>3.7356759912946548E-2</v>
      </c>
      <c r="K194">
        <v>4.6455231199957199</v>
      </c>
      <c r="L194">
        <v>2.1576560445752211</v>
      </c>
      <c r="M194">
        <v>0.82104889169610951</v>
      </c>
      <c r="N194">
        <v>0.19361546160677787</v>
      </c>
      <c r="O194">
        <v>17.411725405044262</v>
      </c>
      <c r="P194" s="3">
        <v>63.645899036860122</v>
      </c>
      <c r="Q194" s="3">
        <v>16.753616139574852</v>
      </c>
    </row>
    <row r="195" spans="1:17" x14ac:dyDescent="0.3">
      <c r="A195" s="13">
        <v>14321</v>
      </c>
      <c r="B195" s="15" t="s">
        <v>160</v>
      </c>
      <c r="C195" s="15" t="s">
        <v>158</v>
      </c>
      <c r="D195" s="24">
        <v>1</v>
      </c>
      <c r="E195" s="1" t="s">
        <v>162</v>
      </c>
      <c r="F195">
        <v>0.20030332854676583</v>
      </c>
      <c r="G195">
        <v>5.3610423283048831</v>
      </c>
      <c r="H195">
        <v>6.9333215641274597</v>
      </c>
      <c r="I195">
        <v>22.249987517267783</v>
      </c>
      <c r="J195">
        <v>4.150751101438506E-2</v>
      </c>
      <c r="K195">
        <v>8.0760632701464061</v>
      </c>
      <c r="L195">
        <v>1.3305545608213862</v>
      </c>
      <c r="M195">
        <v>0.18473600063162454</v>
      </c>
      <c r="N195">
        <v>0.3097847385708446</v>
      </c>
      <c r="O195">
        <v>12.359215800901955</v>
      </c>
      <c r="P195" s="3">
        <v>49.916358138535536</v>
      </c>
      <c r="Q195" s="3">
        <v>1.3638001349430162</v>
      </c>
    </row>
    <row r="196" spans="1:17" x14ac:dyDescent="0.3">
      <c r="A196" s="13">
        <v>14321</v>
      </c>
      <c r="B196" s="15" t="s">
        <v>160</v>
      </c>
      <c r="C196" s="15" t="s">
        <v>158</v>
      </c>
      <c r="D196" s="24">
        <v>1</v>
      </c>
      <c r="E196" s="1" t="s">
        <v>162</v>
      </c>
      <c r="F196">
        <v>0.28932703012310618</v>
      </c>
      <c r="G196">
        <v>6.5731565105200476</v>
      </c>
      <c r="H196">
        <v>7.4096566334186598</v>
      </c>
      <c r="I196">
        <v>20.754190037115325</v>
      </c>
      <c r="J196">
        <v>4.150751101438506E-2</v>
      </c>
      <c r="K196">
        <v>6.9968725145781683</v>
      </c>
      <c r="L196">
        <v>1.4923787641645279</v>
      </c>
      <c r="M196">
        <v>0.37631407536071698</v>
      </c>
      <c r="N196">
        <v>0.17812622467823563</v>
      </c>
      <c r="O196">
        <v>13.369717721730416</v>
      </c>
      <c r="P196" s="3">
        <v>53.04372658549412</v>
      </c>
      <c r="Q196" s="3">
        <v>2.5677878844303481</v>
      </c>
    </row>
    <row r="197" spans="1:17" x14ac:dyDescent="0.3">
      <c r="A197" s="13">
        <v>14321</v>
      </c>
      <c r="B197" s="15" t="s">
        <v>160</v>
      </c>
      <c r="C197" s="15" t="s">
        <v>158</v>
      </c>
      <c r="D197" s="24">
        <v>1</v>
      </c>
      <c r="E197" s="1" t="s">
        <v>162</v>
      </c>
      <c r="F197">
        <v>0.36351344810338981</v>
      </c>
      <c r="G197">
        <v>5.1137951568082576</v>
      </c>
      <c r="H197">
        <v>6.404060376026127</v>
      </c>
      <c r="I197">
        <v>22.483705873541602</v>
      </c>
      <c r="J197">
        <v>4.150751101438506E-2</v>
      </c>
      <c r="K197">
        <v>7.7901849243005152</v>
      </c>
      <c r="L197">
        <v>1.5882745883678708</v>
      </c>
      <c r="M197">
        <v>0.3421037048733796</v>
      </c>
      <c r="N197">
        <v>0.25557240932094677</v>
      </c>
      <c r="O197">
        <v>12.747870385835977</v>
      </c>
      <c r="P197" s="3">
        <v>47.963015493849774</v>
      </c>
      <c r="Q197" s="3">
        <v>2.6973133054758356</v>
      </c>
    </row>
    <row r="198" spans="1:17" x14ac:dyDescent="0.3">
      <c r="A198" s="13">
        <v>14321</v>
      </c>
      <c r="B198" s="15" t="s">
        <v>160</v>
      </c>
      <c r="C198" s="15" t="s">
        <v>158</v>
      </c>
      <c r="D198" s="24">
        <v>1</v>
      </c>
      <c r="E198" s="1" t="s">
        <v>162</v>
      </c>
      <c r="F198">
        <v>0.19288468674873746</v>
      </c>
      <c r="G198">
        <v>7.1158942040492255</v>
      </c>
      <c r="H198">
        <v>6.8803954453173271</v>
      </c>
      <c r="I198">
        <v>20.894421050879618</v>
      </c>
      <c r="J198">
        <v>4.9809013217262069E-2</v>
      </c>
      <c r="K198">
        <v>7.5043065784546243</v>
      </c>
      <c r="L198">
        <v>1.1207824453765731</v>
      </c>
      <c r="M198">
        <v>0.32841955667844186</v>
      </c>
      <c r="N198">
        <v>0.17812622467823563</v>
      </c>
      <c r="O198">
        <v>13.291986804743612</v>
      </c>
      <c r="P198" s="3">
        <v>55.158268516971454</v>
      </c>
      <c r="Q198" s="3">
        <v>2.4170941117156475</v>
      </c>
    </row>
    <row r="199" spans="1:17" x14ac:dyDescent="0.3">
      <c r="A199" s="13">
        <v>14321</v>
      </c>
      <c r="B199" s="15" t="s">
        <v>160</v>
      </c>
      <c r="C199" s="15" t="s">
        <v>158</v>
      </c>
      <c r="D199" s="24">
        <v>1</v>
      </c>
      <c r="E199" s="1" t="s">
        <v>162</v>
      </c>
      <c r="F199">
        <v>0.22255925394085091</v>
      </c>
      <c r="G199">
        <v>5.9098104406510519</v>
      </c>
      <c r="H199">
        <v>7.3038043957983936</v>
      </c>
      <c r="I199">
        <v>21.268370420917734</v>
      </c>
      <c r="J199">
        <v>4.9809013217262069E-2</v>
      </c>
      <c r="K199">
        <v>7.7901849243005152</v>
      </c>
      <c r="L199">
        <v>1.2166782695799161</v>
      </c>
      <c r="M199">
        <v>0.32841955667844491</v>
      </c>
      <c r="N199">
        <v>0.17812622467823563</v>
      </c>
      <c r="O199">
        <v>13.136524970770001</v>
      </c>
      <c r="P199" s="3">
        <v>50.82780299980768</v>
      </c>
      <c r="Q199" s="3">
        <v>2.2801677168115897</v>
      </c>
    </row>
    <row r="200" spans="1:17" x14ac:dyDescent="0.3">
      <c r="A200" s="13">
        <v>14321</v>
      </c>
      <c r="B200" s="15" t="s">
        <v>160</v>
      </c>
      <c r="C200" s="15" t="s">
        <v>158</v>
      </c>
      <c r="D200" s="24">
        <v>1</v>
      </c>
      <c r="E200" s="1" t="s">
        <v>162</v>
      </c>
      <c r="F200">
        <v>0.25223382113296439</v>
      </c>
      <c r="G200">
        <v>5.1258559944422384</v>
      </c>
      <c r="H200">
        <v>7.1979521581781265</v>
      </c>
      <c r="I200">
        <v>22.764167901070188</v>
      </c>
      <c r="J200">
        <v>4.9809013217262069E-2</v>
      </c>
      <c r="K200">
        <v>7.5757761649160962</v>
      </c>
      <c r="L200">
        <v>1.2106847805672072</v>
      </c>
      <c r="M200">
        <v>0.45157689043285565</v>
      </c>
      <c r="N200">
        <v>0.17038160621396453</v>
      </c>
      <c r="O200">
        <v>11.892830298981126</v>
      </c>
      <c r="P200" s="3">
        <v>49.756494855642174</v>
      </c>
      <c r="Q200" s="3">
        <v>3.1529237644307804</v>
      </c>
    </row>
    <row r="201" spans="1:17" x14ac:dyDescent="0.3">
      <c r="A201" s="13">
        <v>14321</v>
      </c>
      <c r="B201" s="15" t="s">
        <v>160</v>
      </c>
      <c r="C201" s="15" t="s">
        <v>158</v>
      </c>
      <c r="D201" s="24">
        <v>1</v>
      </c>
      <c r="E201" s="1" t="s">
        <v>162</v>
      </c>
      <c r="F201">
        <v>0.32271091821423381</v>
      </c>
      <c r="G201">
        <v>8.3822821556173075</v>
      </c>
      <c r="H201">
        <v>5.9806514255450614</v>
      </c>
      <c r="I201">
        <v>20.333496995822447</v>
      </c>
      <c r="J201">
        <v>5.6450214979563679E-2</v>
      </c>
      <c r="K201">
        <v>6.5752019544554798</v>
      </c>
      <c r="L201">
        <v>1.7500987917110125</v>
      </c>
      <c r="M201">
        <v>0.46526103862779544</v>
      </c>
      <c r="N201">
        <v>0.19748777083891342</v>
      </c>
      <c r="O201">
        <v>14.302488725572072</v>
      </c>
      <c r="P201" s="3">
        <v>57.385193594484207</v>
      </c>
      <c r="Q201" s="3">
        <v>3.8802957123826731</v>
      </c>
    </row>
    <row r="202" spans="1:17" x14ac:dyDescent="0.3">
      <c r="A202" s="13">
        <v>14321</v>
      </c>
      <c r="B202" s="15" t="s">
        <v>160</v>
      </c>
      <c r="C202" s="15" t="s">
        <v>158</v>
      </c>
      <c r="D202" s="24">
        <v>1</v>
      </c>
      <c r="E202" s="1" t="s">
        <v>162</v>
      </c>
      <c r="F202">
        <v>0.34125752270930476</v>
      </c>
      <c r="G202">
        <v>7.2968067685589517</v>
      </c>
      <c r="H202">
        <v>5.8747991879247943</v>
      </c>
      <c r="I202">
        <v>20.006291297039095</v>
      </c>
      <c r="J202">
        <v>5.8110515420139085E-2</v>
      </c>
      <c r="K202">
        <v>7.2184282326087335</v>
      </c>
      <c r="L202">
        <v>1.5343331872534904</v>
      </c>
      <c r="M202">
        <v>0.32157748258097629</v>
      </c>
      <c r="N202">
        <v>0.18587084314250674</v>
      </c>
      <c r="O202">
        <v>15.623914314347754</v>
      </c>
      <c r="P202" s="3">
        <v>51.762569854357096</v>
      </c>
      <c r="Q202" s="3">
        <v>2.7620565923252651</v>
      </c>
    </row>
    <row r="203" spans="1:17" x14ac:dyDescent="0.3">
      <c r="A203" s="13">
        <v>14305</v>
      </c>
      <c r="B203" s="15" t="s">
        <v>160</v>
      </c>
      <c r="C203" s="15" t="s">
        <v>158</v>
      </c>
      <c r="D203" s="24">
        <v>1</v>
      </c>
      <c r="E203" s="1" t="s">
        <v>162</v>
      </c>
      <c r="F203">
        <v>0.39318801529550329</v>
      </c>
      <c r="G203">
        <v>6.4525481341802298</v>
      </c>
      <c r="H203">
        <v>6.5628387324565276</v>
      </c>
      <c r="I203">
        <v>20.333496995822447</v>
      </c>
      <c r="J203">
        <v>5.9770815860714477E-2</v>
      </c>
      <c r="K203">
        <v>7.2184282326087335</v>
      </c>
      <c r="L203">
        <v>2.936809616227384</v>
      </c>
      <c r="M203">
        <v>0.3284195566784438</v>
      </c>
      <c r="N203">
        <v>9.1386497878405137E-2</v>
      </c>
      <c r="O203">
        <v>13.369717721730416</v>
      </c>
      <c r="P203" s="3">
        <v>52.582219098256886</v>
      </c>
      <c r="Q203" s="3">
        <v>2.5310900125572706</v>
      </c>
    </row>
    <row r="204" spans="1:17" x14ac:dyDescent="0.3">
      <c r="A204" s="13">
        <v>14072</v>
      </c>
      <c r="B204" s="15" t="s">
        <v>160</v>
      </c>
      <c r="C204" s="15" t="s">
        <v>158</v>
      </c>
      <c r="D204" s="24">
        <v>1</v>
      </c>
      <c r="E204" s="1" t="s">
        <v>162</v>
      </c>
      <c r="F204">
        <v>0.23739653753690765</v>
      </c>
      <c r="G204">
        <v>7.3329892814608968</v>
      </c>
      <c r="H204">
        <v>5.8589213522817545</v>
      </c>
      <c r="I204">
        <v>21.104767571526057</v>
      </c>
      <c r="J204">
        <v>6.6412017623016087E-2</v>
      </c>
      <c r="K204">
        <v>7.0326073078089051</v>
      </c>
      <c r="L204">
        <v>1.5403266762661993</v>
      </c>
      <c r="M204">
        <v>0.34894577897084655</v>
      </c>
      <c r="N204">
        <v>0.2091046985353201</v>
      </c>
      <c r="O204">
        <v>13.851649407048605</v>
      </c>
      <c r="P204" s="3">
        <v>54.881323774987678</v>
      </c>
      <c r="Q204" s="3">
        <v>2.9979567699468657</v>
      </c>
    </row>
    <row r="205" spans="1:17" x14ac:dyDescent="0.3">
      <c r="A205" s="13">
        <v>14321</v>
      </c>
      <c r="B205" s="15" t="s">
        <v>160</v>
      </c>
      <c r="C205" s="15" t="s">
        <v>158</v>
      </c>
      <c r="D205" s="24">
        <v>1</v>
      </c>
      <c r="E205" s="1" t="s">
        <v>162</v>
      </c>
      <c r="F205">
        <v>0.28932703012310618</v>
      </c>
      <c r="G205">
        <v>5.7892020643112341</v>
      </c>
      <c r="H205">
        <v>6.5628387324565276</v>
      </c>
      <c r="I205">
        <v>21.689063462210608</v>
      </c>
      <c r="J205">
        <v>6.6412017623016087E-2</v>
      </c>
      <c r="K205">
        <v>6.5894958717477756</v>
      </c>
      <c r="L205">
        <v>1.6961573905966321</v>
      </c>
      <c r="M205">
        <v>0.36262992716578418</v>
      </c>
      <c r="N205">
        <v>0.19361546160677787</v>
      </c>
      <c r="O205">
        <v>14.224757808585268</v>
      </c>
      <c r="P205" s="3">
        <v>48.323339398076996</v>
      </c>
      <c r="Q205" s="3">
        <v>2.7873961071488322</v>
      </c>
    </row>
    <row r="206" spans="1:17" x14ac:dyDescent="0.3">
      <c r="A206" s="13">
        <v>14321</v>
      </c>
      <c r="B206" s="15" t="s">
        <v>160</v>
      </c>
      <c r="C206" s="15" t="s">
        <v>158</v>
      </c>
      <c r="D206" s="24">
        <v>1</v>
      </c>
      <c r="E206" s="1" t="s">
        <v>162</v>
      </c>
      <c r="F206">
        <v>0.34125752270930476</v>
      </c>
      <c r="G206">
        <v>5.4273769352917824</v>
      </c>
      <c r="H206">
        <v>7.7801394650895919</v>
      </c>
      <c r="I206">
        <v>20.426984338331977</v>
      </c>
      <c r="J206">
        <v>6.6412017623016087E-2</v>
      </c>
      <c r="K206">
        <v>8.6478199618381861</v>
      </c>
      <c r="L206">
        <v>1.4624113191009831</v>
      </c>
      <c r="M206">
        <v>0.28052503799616907</v>
      </c>
      <c r="N206">
        <v>0.1626369877496934</v>
      </c>
      <c r="O206">
        <v>13.136524970770001</v>
      </c>
      <c r="P206" s="3">
        <v>48.699227013611768</v>
      </c>
      <c r="Q206" s="3">
        <v>1.8366974030460688</v>
      </c>
    </row>
    <row r="207" spans="1:17" x14ac:dyDescent="0.3">
      <c r="A207" s="13">
        <v>14053</v>
      </c>
      <c r="B207" s="15" t="s">
        <v>160</v>
      </c>
      <c r="C207" s="15" t="s">
        <v>158</v>
      </c>
      <c r="D207" s="24">
        <v>1</v>
      </c>
      <c r="E207" s="1" t="s">
        <v>162</v>
      </c>
      <c r="F207">
        <v>0.32642023911324802</v>
      </c>
      <c r="G207">
        <v>5.4092856788408099</v>
      </c>
      <c r="H207">
        <v>6.6369352987907133</v>
      </c>
      <c r="I207">
        <v>21.539483714195363</v>
      </c>
      <c r="J207">
        <v>8.0524571367907014E-2</v>
      </c>
      <c r="K207">
        <v>7.9116832212850179</v>
      </c>
      <c r="L207">
        <v>1.7441053026983036</v>
      </c>
      <c r="M207">
        <v>0.28736711209363835</v>
      </c>
      <c r="N207">
        <v>0.19748777083891342</v>
      </c>
      <c r="O207">
        <v>13.190936612660764</v>
      </c>
      <c r="P207" s="3">
        <v>48.51256349407403</v>
      </c>
      <c r="Q207" s="3">
        <v>2.1974740441857534</v>
      </c>
    </row>
    <row r="208" spans="1:17" x14ac:dyDescent="0.3">
      <c r="A208" s="13">
        <v>14321</v>
      </c>
      <c r="B208" s="15" t="s">
        <v>160</v>
      </c>
      <c r="C208" s="15" t="s">
        <v>158</v>
      </c>
      <c r="D208" s="24">
        <v>1</v>
      </c>
      <c r="E208" s="1" t="s">
        <v>162</v>
      </c>
      <c r="F208">
        <v>0.54675390051469042</v>
      </c>
      <c r="G208">
        <v>6.0907230051607772</v>
      </c>
      <c r="H208">
        <v>6.7745432076970609</v>
      </c>
      <c r="I208">
        <v>21.876038147229664</v>
      </c>
      <c r="J208">
        <v>8.3015022028770119E-2</v>
      </c>
      <c r="K208">
        <v>7.3613674055316798</v>
      </c>
      <c r="L208">
        <v>1.4743982971264009</v>
      </c>
      <c r="M208">
        <v>3.3526163077589405E-2</v>
      </c>
      <c r="N208">
        <v>0.19671330899248632</v>
      </c>
      <c r="O208">
        <v>12.747870385835977</v>
      </c>
      <c r="P208" s="3">
        <v>52.330821211443734</v>
      </c>
      <c r="Q208" s="3">
        <v>0.2561498860382101</v>
      </c>
    </row>
    <row r="209" spans="1:17" x14ac:dyDescent="0.3">
      <c r="A209" s="13">
        <v>14053</v>
      </c>
      <c r="B209" s="15" t="s">
        <v>160</v>
      </c>
      <c r="C209" s="15" t="s">
        <v>158</v>
      </c>
      <c r="D209" s="24">
        <v>1</v>
      </c>
      <c r="E209" s="1" t="s">
        <v>162</v>
      </c>
      <c r="F209">
        <v>0.32642023911324802</v>
      </c>
      <c r="G209">
        <v>5.180129763795156</v>
      </c>
      <c r="H209">
        <v>6.795713655221113</v>
      </c>
      <c r="I209">
        <v>21.58622738545013</v>
      </c>
      <c r="J209">
        <v>9.1316524231647128E-2</v>
      </c>
      <c r="K209">
        <v>7.9902997663926376</v>
      </c>
      <c r="L209">
        <v>1.7620857697364303</v>
      </c>
      <c r="M209">
        <v>0.25315674160630047</v>
      </c>
      <c r="N209">
        <v>0.201360080071049</v>
      </c>
      <c r="O209">
        <v>13.284213713044931</v>
      </c>
      <c r="P209" s="3">
        <v>47.256548662762249</v>
      </c>
      <c r="Q209" s="3">
        <v>1.8964583756448299</v>
      </c>
    </row>
    <row r="210" spans="1:17" x14ac:dyDescent="0.3">
      <c r="A210" s="13">
        <v>14321</v>
      </c>
      <c r="B210" s="15" t="s">
        <v>160</v>
      </c>
      <c r="C210" s="15" t="s">
        <v>158</v>
      </c>
      <c r="D210" s="24">
        <v>1</v>
      </c>
      <c r="E210" s="1" t="s">
        <v>162</v>
      </c>
      <c r="F210">
        <v>0.34867616450733308</v>
      </c>
      <c r="G210">
        <v>6.0907230051607772</v>
      </c>
      <c r="H210">
        <v>6.8803954453173271</v>
      </c>
      <c r="I210">
        <v>21.782550804720138</v>
      </c>
      <c r="J210">
        <v>9.1316524231647128E-2</v>
      </c>
      <c r="K210">
        <v>7.6472457513775689</v>
      </c>
      <c r="L210">
        <v>1.2526392036561698</v>
      </c>
      <c r="M210">
        <v>0.2805250379961734</v>
      </c>
      <c r="N210">
        <v>0.17038160621396453</v>
      </c>
      <c r="O210">
        <v>12.670139468849174</v>
      </c>
      <c r="P210" s="3">
        <v>52.483372385937123</v>
      </c>
      <c r="Q210" s="3">
        <v>2.0719045366297868</v>
      </c>
    </row>
    <row r="211" spans="1:17" x14ac:dyDescent="0.3">
      <c r="A211" s="13">
        <v>14321</v>
      </c>
      <c r="B211" s="15" t="s">
        <v>160</v>
      </c>
      <c r="C211" s="15" t="s">
        <v>158</v>
      </c>
      <c r="D211" s="24">
        <v>1</v>
      </c>
      <c r="E211" s="1" t="s">
        <v>162</v>
      </c>
      <c r="F211">
        <v>0.37093208990141818</v>
      </c>
      <c r="G211">
        <v>5.3067685589519655</v>
      </c>
      <c r="H211">
        <v>6.7745432076970609</v>
      </c>
      <c r="I211">
        <v>23.044629928598773</v>
      </c>
      <c r="J211">
        <v>9.9618026434524137E-2</v>
      </c>
      <c r="K211">
        <v>7.5043065784546243</v>
      </c>
      <c r="L211">
        <v>1.3245610718086773</v>
      </c>
      <c r="M211">
        <v>0.30789333438603883</v>
      </c>
      <c r="N211">
        <v>0.17038160621396453</v>
      </c>
      <c r="O211">
        <v>11.737368465007515</v>
      </c>
      <c r="P211" s="3">
        <v>50.952468759308381</v>
      </c>
      <c r="Q211" s="3">
        <v>2.3040973406044949</v>
      </c>
    </row>
    <row r="212" spans="1:17" x14ac:dyDescent="0.3">
      <c r="A212" s="13">
        <v>14321</v>
      </c>
      <c r="B212" s="15" t="s">
        <v>160</v>
      </c>
      <c r="C212" s="15" t="s">
        <v>158</v>
      </c>
      <c r="D212" s="24">
        <v>1</v>
      </c>
      <c r="E212" s="1" t="s">
        <v>162</v>
      </c>
      <c r="F212">
        <v>0.34125752270930476</v>
      </c>
      <c r="G212">
        <v>6.6937648868598645</v>
      </c>
      <c r="H212">
        <v>7.0391738017477268</v>
      </c>
      <c r="I212">
        <v>21.876038147229664</v>
      </c>
      <c r="J212">
        <v>0.10791952863740115</v>
      </c>
      <c r="K212">
        <v>7.2184282326087335</v>
      </c>
      <c r="L212">
        <v>1.0488605772240658</v>
      </c>
      <c r="M212">
        <v>0.36947200126325352</v>
      </c>
      <c r="N212">
        <v>0.17038160621396453</v>
      </c>
      <c r="O212">
        <v>12.126023049941539</v>
      </c>
      <c r="P212" s="3">
        <v>55.915184487454447</v>
      </c>
      <c r="Q212" s="3">
        <v>2.6515099855111215</v>
      </c>
    </row>
    <row r="213" spans="1:17" x14ac:dyDescent="0.3">
      <c r="A213" s="13">
        <v>14321</v>
      </c>
      <c r="B213" s="15" t="s">
        <v>160</v>
      </c>
      <c r="C213" s="15" t="s">
        <v>158</v>
      </c>
      <c r="D213" s="24">
        <v>1</v>
      </c>
      <c r="E213" s="1" t="s">
        <v>162</v>
      </c>
      <c r="F213">
        <v>0.37835073169944655</v>
      </c>
      <c r="G213">
        <v>5.6505024315204437</v>
      </c>
      <c r="H213">
        <v>6.1394297819754602</v>
      </c>
      <c r="I213">
        <v>22.904398914834481</v>
      </c>
      <c r="J213">
        <v>0.10791952863740115</v>
      </c>
      <c r="K213">
        <v>7.5757761649160962</v>
      </c>
      <c r="L213">
        <v>1.3365480498340951</v>
      </c>
      <c r="M213">
        <v>0.1505256301442888</v>
      </c>
      <c r="N213">
        <v>0.18587084314250674</v>
      </c>
      <c r="O213">
        <v>12.514677634875564</v>
      </c>
      <c r="P213" s="3">
        <v>50.918401853671156</v>
      </c>
      <c r="Q213" s="3">
        <v>1.2563075894175517</v>
      </c>
    </row>
    <row r="214" spans="1:17" x14ac:dyDescent="0.3">
      <c r="A214" s="13">
        <v>14321</v>
      </c>
      <c r="B214" s="15" t="s">
        <v>160</v>
      </c>
      <c r="C214" s="15" t="s">
        <v>158</v>
      </c>
      <c r="D214" s="24">
        <v>1</v>
      </c>
      <c r="E214" s="1" t="s">
        <v>162</v>
      </c>
      <c r="F214">
        <v>0.40802529889156003</v>
      </c>
      <c r="G214">
        <v>5.4273769352917824</v>
      </c>
      <c r="H214">
        <v>7.3038043957983936</v>
      </c>
      <c r="I214">
        <v>21.642319790955845</v>
      </c>
      <c r="J214">
        <v>0.10791952863740115</v>
      </c>
      <c r="K214">
        <v>7.7901849243005152</v>
      </c>
      <c r="L214">
        <v>1.2670235772866714</v>
      </c>
      <c r="M214">
        <v>0.2572619860647804</v>
      </c>
      <c r="N214">
        <v>0.17812622467823563</v>
      </c>
      <c r="O214">
        <v>12.903332219809588</v>
      </c>
      <c r="P214" s="3">
        <v>49.146789431535495</v>
      </c>
      <c r="Q214" s="3">
        <v>1.794999327123447</v>
      </c>
    </row>
    <row r="215" spans="1:17" x14ac:dyDescent="0.3">
      <c r="A215" s="13">
        <v>14321</v>
      </c>
      <c r="B215" s="15" t="s">
        <v>160</v>
      </c>
      <c r="C215" s="15" t="s">
        <v>158</v>
      </c>
      <c r="D215" s="24">
        <v>1</v>
      </c>
      <c r="E215" s="1" t="s">
        <v>162</v>
      </c>
      <c r="F215">
        <v>0.38280191677826358</v>
      </c>
      <c r="G215">
        <v>6.5128523223501391</v>
      </c>
      <c r="H215">
        <v>7.0920999205578603</v>
      </c>
      <c r="I215">
        <v>21.268370420917734</v>
      </c>
      <c r="J215">
        <v>0.11622103084027817</v>
      </c>
      <c r="K215">
        <v>7.7901849243005152</v>
      </c>
      <c r="L215">
        <v>1.5403266762661993</v>
      </c>
      <c r="M215">
        <v>0.28736711209363835</v>
      </c>
      <c r="N215">
        <v>0.18509638129607964</v>
      </c>
      <c r="O215">
        <v>12.359215800901955</v>
      </c>
      <c r="P215" s="3">
        <v>54.767309490574476</v>
      </c>
      <c r="Q215" s="3">
        <v>2.0593464636974783</v>
      </c>
    </row>
    <row r="216" spans="1:17" x14ac:dyDescent="0.3">
      <c r="A216" s="13">
        <v>14321</v>
      </c>
      <c r="B216" s="15" t="s">
        <v>160</v>
      </c>
      <c r="C216" s="15" t="s">
        <v>158</v>
      </c>
      <c r="D216" s="24">
        <v>1</v>
      </c>
      <c r="E216" s="1" t="s">
        <v>162</v>
      </c>
      <c r="F216">
        <v>0.38428564513786923</v>
      </c>
      <c r="G216">
        <v>7.1761983922191339</v>
      </c>
      <c r="H216">
        <v>6.1394297819754602</v>
      </c>
      <c r="I216">
        <v>21.735807133465375</v>
      </c>
      <c r="J216">
        <v>0.11622103084027817</v>
      </c>
      <c r="K216">
        <v>7.1469586461472616</v>
      </c>
      <c r="L216">
        <v>1.4504243410755651</v>
      </c>
      <c r="M216">
        <v>0.42420859404298994</v>
      </c>
      <c r="N216">
        <v>0.18896869052821519</v>
      </c>
      <c r="O216">
        <v>12.957743861700353</v>
      </c>
      <c r="P216" s="3">
        <v>55.995368333930557</v>
      </c>
      <c r="Q216" s="3">
        <v>3.4614372095112138</v>
      </c>
    </row>
    <row r="217" spans="1:17" x14ac:dyDescent="0.3">
      <c r="A217" s="13">
        <v>14321</v>
      </c>
      <c r="B217" s="15" t="s">
        <v>160</v>
      </c>
      <c r="C217" s="15" t="s">
        <v>158</v>
      </c>
      <c r="D217" s="24">
        <v>1</v>
      </c>
      <c r="E217" s="1" t="s">
        <v>162</v>
      </c>
      <c r="F217">
        <v>0.45995579147775856</v>
      </c>
      <c r="G217">
        <v>4.7037266772528774</v>
      </c>
      <c r="H217">
        <v>6.8274693265071935</v>
      </c>
      <c r="I217">
        <v>21.642319790955845</v>
      </c>
      <c r="J217">
        <v>0.11622103084027817</v>
      </c>
      <c r="K217">
        <v>8.2190024430693498</v>
      </c>
      <c r="L217">
        <v>1.4444308520628564</v>
      </c>
      <c r="M217">
        <v>0.26684088980124193</v>
      </c>
      <c r="N217">
        <v>0.18587084314250674</v>
      </c>
      <c r="O217">
        <v>13.758372306664439</v>
      </c>
      <c r="P217" s="3">
        <v>43.994272094359708</v>
      </c>
      <c r="Q217" s="3">
        <v>1.987819185572353</v>
      </c>
    </row>
    <row r="218" spans="1:17" x14ac:dyDescent="0.3">
      <c r="A218" s="13">
        <v>14053</v>
      </c>
      <c r="B218" s="15" t="s">
        <v>160</v>
      </c>
      <c r="C218" s="15" t="s">
        <v>158</v>
      </c>
      <c r="D218" s="24">
        <v>1</v>
      </c>
      <c r="E218" s="1" t="s">
        <v>162</v>
      </c>
      <c r="F218">
        <v>0.28000451765920698</v>
      </c>
      <c r="G218">
        <v>5.0005324758175327</v>
      </c>
      <c r="H218">
        <v>6.4004116517493514</v>
      </c>
      <c r="I218">
        <v>22.602895576598641</v>
      </c>
      <c r="J218">
        <v>0.12000023133161332</v>
      </c>
      <c r="K218">
        <v>8.5000305574987003</v>
      </c>
      <c r="L218">
        <v>0.89992462844960874</v>
      </c>
      <c r="M218">
        <v>0.30000774365057159</v>
      </c>
      <c r="N218">
        <v>0.22000129495483547</v>
      </c>
      <c r="O218">
        <v>12.599924164247808</v>
      </c>
      <c r="P218" s="3">
        <v>47.695421861523421</v>
      </c>
      <c r="Q218" s="3">
        <v>2.3746059956251697</v>
      </c>
    </row>
    <row r="219" spans="1:17" x14ac:dyDescent="0.3">
      <c r="A219" s="13">
        <v>14321</v>
      </c>
      <c r="B219" s="15" t="s">
        <v>160</v>
      </c>
      <c r="C219" s="15" t="s">
        <v>158</v>
      </c>
      <c r="D219" s="24">
        <v>1</v>
      </c>
      <c r="E219" s="1" t="s">
        <v>162</v>
      </c>
      <c r="F219">
        <v>0.31158295551719128</v>
      </c>
      <c r="G219">
        <v>6.9349816395394992</v>
      </c>
      <c r="H219">
        <v>6.2982081384058608</v>
      </c>
      <c r="I219">
        <v>20.894421050879618</v>
      </c>
      <c r="J219">
        <v>0.12452253304315516</v>
      </c>
      <c r="K219">
        <v>7.6472457513775689</v>
      </c>
      <c r="L219">
        <v>1.48039178613911</v>
      </c>
      <c r="M219">
        <v>0.28052503799617112</v>
      </c>
      <c r="N219">
        <v>0.19361546160677787</v>
      </c>
      <c r="O219">
        <v>13.60291047269083</v>
      </c>
      <c r="P219" s="3">
        <v>53.94658660708339</v>
      </c>
      <c r="Q219" s="3">
        <v>2.259098485359782</v>
      </c>
    </row>
    <row r="220" spans="1:17" x14ac:dyDescent="0.3">
      <c r="A220" s="13">
        <v>14321</v>
      </c>
      <c r="B220" s="15" t="s">
        <v>160</v>
      </c>
      <c r="C220" s="15" t="s">
        <v>158</v>
      </c>
      <c r="D220" s="24">
        <v>1</v>
      </c>
      <c r="E220" s="1" t="s">
        <v>162</v>
      </c>
      <c r="F220">
        <v>0.32790396747285366</v>
      </c>
      <c r="G220">
        <v>6.2113313815005959</v>
      </c>
      <c r="H220">
        <v>6.2452820195957273</v>
      </c>
      <c r="I220">
        <v>22.016269160993961</v>
      </c>
      <c r="J220">
        <v>0.12452253304315516</v>
      </c>
      <c r="K220">
        <v>7.2898978190702062</v>
      </c>
      <c r="L220">
        <v>1.4324438740374383</v>
      </c>
      <c r="M220">
        <v>0.30105126028857349</v>
      </c>
      <c r="N220">
        <v>0.19361546160677787</v>
      </c>
      <c r="O220">
        <v>13.525179555704025</v>
      </c>
      <c r="P220" s="3">
        <v>51.342678896882703</v>
      </c>
      <c r="Q220" s="3">
        <v>2.4404087302918733</v>
      </c>
    </row>
    <row r="221" spans="1:17" x14ac:dyDescent="0.3">
      <c r="A221" s="13">
        <v>14321</v>
      </c>
      <c r="B221" s="15" t="s">
        <v>160</v>
      </c>
      <c r="C221" s="15" t="s">
        <v>158</v>
      </c>
      <c r="D221" s="24">
        <v>1</v>
      </c>
      <c r="E221" s="1" t="s">
        <v>162</v>
      </c>
      <c r="F221">
        <v>0.43769986608367345</v>
      </c>
      <c r="G221">
        <v>5.367072747121874</v>
      </c>
      <c r="H221">
        <v>7.0391738017477268</v>
      </c>
      <c r="I221">
        <v>22.296731188522546</v>
      </c>
      <c r="J221">
        <v>0.12452253304315516</v>
      </c>
      <c r="K221">
        <v>7.5043065784546243</v>
      </c>
      <c r="L221">
        <v>1.2286652476053339</v>
      </c>
      <c r="M221">
        <v>0.2668408898012386</v>
      </c>
      <c r="N221">
        <v>0.17038160621396453</v>
      </c>
      <c r="O221">
        <v>12.592408551862368</v>
      </c>
      <c r="P221" s="3">
        <v>49.477179471227458</v>
      </c>
      <c r="Q221" s="3">
        <v>1.9291884966547355</v>
      </c>
    </row>
    <row r="222" spans="1:17" x14ac:dyDescent="0.3">
      <c r="A222" s="13">
        <v>14321</v>
      </c>
      <c r="B222" s="15" t="s">
        <v>160</v>
      </c>
      <c r="C222" s="15" t="s">
        <v>158</v>
      </c>
      <c r="D222" s="24">
        <v>1</v>
      </c>
      <c r="E222" s="1" t="s">
        <v>162</v>
      </c>
      <c r="F222">
        <v>0.44511850788170182</v>
      </c>
      <c r="G222">
        <v>5.6082894998015087</v>
      </c>
      <c r="H222">
        <v>6.6157648512666603</v>
      </c>
      <c r="I222">
        <v>22.436962202286839</v>
      </c>
      <c r="J222">
        <v>0.12452253304315516</v>
      </c>
      <c r="K222">
        <v>7.5043065784546243</v>
      </c>
      <c r="L222">
        <v>1.4084699179866025</v>
      </c>
      <c r="M222">
        <v>0.2531567416062987</v>
      </c>
      <c r="N222">
        <v>0.17812622467823563</v>
      </c>
      <c r="O222">
        <v>12.436946717888759</v>
      </c>
      <c r="P222" s="3">
        <v>50.886708526616495</v>
      </c>
      <c r="Q222" s="3">
        <v>1.9470376900080595</v>
      </c>
    </row>
    <row r="223" spans="1:17" x14ac:dyDescent="0.3">
      <c r="A223" s="13">
        <v>14321</v>
      </c>
      <c r="B223" s="15" t="s">
        <v>160</v>
      </c>
      <c r="C223" s="15" t="s">
        <v>158</v>
      </c>
      <c r="D223" s="24">
        <v>1</v>
      </c>
      <c r="E223" s="1" t="s">
        <v>162</v>
      </c>
      <c r="F223">
        <v>0.37835073169944655</v>
      </c>
      <c r="G223">
        <v>4.4625099245732436</v>
      </c>
      <c r="H223">
        <v>7.3038043957983936</v>
      </c>
      <c r="I223">
        <v>23.091373599853537</v>
      </c>
      <c r="J223">
        <v>0.13282403524603217</v>
      </c>
      <c r="K223">
        <v>8.2904720295308234</v>
      </c>
      <c r="L223">
        <v>1.5882745883678708</v>
      </c>
      <c r="M223">
        <v>0.18473600063162793</v>
      </c>
      <c r="N223">
        <v>0.1626369877496934</v>
      </c>
      <c r="O223">
        <v>10.882328378152664</v>
      </c>
      <c r="P223" s="3">
        <v>48.512165690788301</v>
      </c>
      <c r="Q223" s="3">
        <v>1.2955180841971143</v>
      </c>
    </row>
    <row r="224" spans="1:17" x14ac:dyDescent="0.3">
      <c r="A224" s="13">
        <v>14321</v>
      </c>
      <c r="B224" s="15" t="s">
        <v>160</v>
      </c>
      <c r="C224" s="15" t="s">
        <v>158</v>
      </c>
      <c r="D224" s="24">
        <v>1</v>
      </c>
      <c r="E224" s="1" t="s">
        <v>162</v>
      </c>
      <c r="F224">
        <v>0.40060665709353166</v>
      </c>
      <c r="G224">
        <v>4.7640308654227868</v>
      </c>
      <c r="H224">
        <v>6.7745432076970609</v>
      </c>
      <c r="I224">
        <v>23.091373599853537</v>
      </c>
      <c r="J224">
        <v>0.13282403524603217</v>
      </c>
      <c r="K224">
        <v>7.7901849243005152</v>
      </c>
      <c r="L224">
        <v>1.4444308520628564</v>
      </c>
      <c r="M224">
        <v>0.24631466750883196</v>
      </c>
      <c r="N224">
        <v>0.17812622467823563</v>
      </c>
      <c r="O224">
        <v>11.892830298981126</v>
      </c>
      <c r="P224" s="3">
        <v>47.927595812530598</v>
      </c>
      <c r="Q224" s="3">
        <v>1.8518113798347589</v>
      </c>
    </row>
    <row r="225" spans="1:17" x14ac:dyDescent="0.3">
      <c r="A225" s="13">
        <v>14321</v>
      </c>
      <c r="B225" s="15" t="s">
        <v>160</v>
      </c>
      <c r="C225" s="15" t="s">
        <v>158</v>
      </c>
      <c r="D225" s="24">
        <v>1</v>
      </c>
      <c r="E225" s="1" t="s">
        <v>162</v>
      </c>
      <c r="F225">
        <v>0.43769986608367345</v>
      </c>
      <c r="G225">
        <v>4.7640308654227868</v>
      </c>
      <c r="H225">
        <v>7.515508871038926</v>
      </c>
      <c r="I225">
        <v>22.016269160993961</v>
      </c>
      <c r="J225">
        <v>0.13282403524603217</v>
      </c>
      <c r="K225">
        <v>7.2184282326087335</v>
      </c>
      <c r="L225">
        <v>1.3545285168722219</v>
      </c>
      <c r="M225">
        <v>0.24631466750883005</v>
      </c>
      <c r="N225">
        <v>0.17812622467823563</v>
      </c>
      <c r="O225">
        <v>13.291986804743612</v>
      </c>
      <c r="P225" s="3">
        <v>45.160960751643508</v>
      </c>
      <c r="Q225" s="3">
        <v>1.672291579010883</v>
      </c>
    </row>
    <row r="226" spans="1:17" x14ac:dyDescent="0.3">
      <c r="A226" s="13">
        <v>14321</v>
      </c>
      <c r="B226" s="15" t="s">
        <v>160</v>
      </c>
      <c r="C226" s="15" t="s">
        <v>158</v>
      </c>
      <c r="D226" s="24">
        <v>1</v>
      </c>
      <c r="E226" s="1" t="s">
        <v>162</v>
      </c>
      <c r="F226">
        <v>0.48221171687184367</v>
      </c>
      <c r="G226">
        <v>5.1861601826121468</v>
      </c>
      <c r="H226">
        <v>6.4569864948362605</v>
      </c>
      <c r="I226">
        <v>23.091373599853537</v>
      </c>
      <c r="J226">
        <v>0.13282403524603217</v>
      </c>
      <c r="K226">
        <v>7.5043065784546243</v>
      </c>
      <c r="L226">
        <v>1.3125740937832593</v>
      </c>
      <c r="M226">
        <v>9.5789037364551688E-2</v>
      </c>
      <c r="N226">
        <v>0.12391389542833783</v>
      </c>
      <c r="O226">
        <v>12.436946717888759</v>
      </c>
      <c r="P226" s="3">
        <v>48.930659660428923</v>
      </c>
      <c r="Q226" s="3">
        <v>0.76394069180228807</v>
      </c>
    </row>
    <row r="227" spans="1:17" x14ac:dyDescent="0.3">
      <c r="A227" s="13">
        <v>14321</v>
      </c>
      <c r="B227" s="15" t="s">
        <v>160</v>
      </c>
      <c r="C227" s="15" t="s">
        <v>158</v>
      </c>
      <c r="D227" s="24">
        <v>1</v>
      </c>
      <c r="E227" s="1" t="s">
        <v>162</v>
      </c>
      <c r="F227">
        <v>0.63726133045063638</v>
      </c>
      <c r="G227">
        <v>6.4525481341802298</v>
      </c>
      <c r="H227">
        <v>6.5628387324565276</v>
      </c>
      <c r="I227">
        <v>21.221626749662967</v>
      </c>
      <c r="J227">
        <v>0.13282403524603217</v>
      </c>
      <c r="K227">
        <v>7.5757761649160962</v>
      </c>
      <c r="L227">
        <v>1.4923787641645279</v>
      </c>
      <c r="M227">
        <v>2.9420918619110184E-2</v>
      </c>
      <c r="N227">
        <v>0.19206653791392364</v>
      </c>
      <c r="O227">
        <v>13.291986804743612</v>
      </c>
      <c r="P227" s="3">
        <v>52.727581010106661</v>
      </c>
      <c r="Q227" s="3">
        <v>0.23209167679754725</v>
      </c>
    </row>
    <row r="228" spans="1:17" x14ac:dyDescent="0.3">
      <c r="A228" s="13">
        <v>14321</v>
      </c>
      <c r="B228" s="15" t="s">
        <v>160</v>
      </c>
      <c r="C228" s="15" t="s">
        <v>158</v>
      </c>
      <c r="D228" s="24">
        <v>1</v>
      </c>
      <c r="E228" s="1" t="s">
        <v>162</v>
      </c>
      <c r="F228">
        <v>0.38576937349747492</v>
      </c>
      <c r="G228">
        <v>5.1861601826121468</v>
      </c>
      <c r="H228">
        <v>7.4096566334186598</v>
      </c>
      <c r="I228">
        <v>21.922781818484431</v>
      </c>
      <c r="J228">
        <v>0.14112553744890921</v>
      </c>
      <c r="K228">
        <v>8.0045936836849325</v>
      </c>
      <c r="L228">
        <v>1.2586326926688789</v>
      </c>
      <c r="M228">
        <v>0.27368296389870428</v>
      </c>
      <c r="N228">
        <v>0.1626369877496934</v>
      </c>
      <c r="O228">
        <v>12.359215800901955</v>
      </c>
      <c r="P228" s="3">
        <v>49.087338284504867</v>
      </c>
      <c r="Q228" s="3">
        <v>1.8806524154600137</v>
      </c>
    </row>
    <row r="229" spans="1:17" x14ac:dyDescent="0.3">
      <c r="A229" s="13">
        <v>14321</v>
      </c>
      <c r="B229" s="15" t="s">
        <v>160</v>
      </c>
      <c r="C229" s="15" t="s">
        <v>158</v>
      </c>
      <c r="D229" s="24">
        <v>1</v>
      </c>
      <c r="E229" s="1" t="s">
        <v>162</v>
      </c>
      <c r="F229">
        <v>0.39318801529550329</v>
      </c>
      <c r="G229">
        <v>5.7228674573243348</v>
      </c>
      <c r="H229">
        <v>6.0865036631653275</v>
      </c>
      <c r="I229">
        <v>22.857655243579718</v>
      </c>
      <c r="J229">
        <v>0.15772854185466323</v>
      </c>
      <c r="K229">
        <v>7.4328369919931516</v>
      </c>
      <c r="L229">
        <v>1.3065806047705506</v>
      </c>
      <c r="M229">
        <v>0.51315555731007012</v>
      </c>
      <c r="N229">
        <v>0.12391389542833783</v>
      </c>
      <c r="O229">
        <v>12.359215800901955</v>
      </c>
      <c r="P229" s="3">
        <v>51.548651630660764</v>
      </c>
      <c r="Q229" s="3">
        <v>4.1916842174935036</v>
      </c>
    </row>
    <row r="230" spans="1:17" x14ac:dyDescent="0.3">
      <c r="A230" s="13">
        <v>14321</v>
      </c>
      <c r="B230" s="15" t="s">
        <v>160</v>
      </c>
      <c r="C230" s="15" t="s">
        <v>158</v>
      </c>
      <c r="D230" s="24">
        <v>1</v>
      </c>
      <c r="E230" s="1" t="s">
        <v>162</v>
      </c>
      <c r="F230">
        <v>0.36351344810338981</v>
      </c>
      <c r="G230">
        <v>5.3731031659388639</v>
      </c>
      <c r="H230">
        <v>6.5099126136463941</v>
      </c>
      <c r="I230">
        <v>22.577193216051128</v>
      </c>
      <c r="J230">
        <v>0.16603004405754024</v>
      </c>
      <c r="K230">
        <v>8.5763503753767125</v>
      </c>
      <c r="L230">
        <v>1.2406522256307519</v>
      </c>
      <c r="M230">
        <v>0.18473600063162279</v>
      </c>
      <c r="N230">
        <v>0.12391389542833783</v>
      </c>
      <c r="O230">
        <v>11.892830298981126</v>
      </c>
      <c r="P230" s="3">
        <v>50.934086189892518</v>
      </c>
      <c r="Q230" s="3">
        <v>1.4512153192331489</v>
      </c>
    </row>
    <row r="231" spans="1:17" x14ac:dyDescent="0.3">
      <c r="A231" s="13">
        <v>14321</v>
      </c>
      <c r="B231" s="15" t="s">
        <v>160</v>
      </c>
      <c r="C231" s="15" t="s">
        <v>158</v>
      </c>
      <c r="D231" s="24">
        <v>1</v>
      </c>
      <c r="E231" s="1" t="s">
        <v>162</v>
      </c>
      <c r="F231">
        <v>0.30119685699995158</v>
      </c>
      <c r="G231">
        <v>8.2013695911075821</v>
      </c>
      <c r="H231">
        <v>5.6366316532791947</v>
      </c>
      <c r="I231">
        <v>20.146522310803391</v>
      </c>
      <c r="J231">
        <v>0.18263304846329426</v>
      </c>
      <c r="K231">
        <v>6.9325498867628426</v>
      </c>
      <c r="L231">
        <v>2.3614346710073248</v>
      </c>
      <c r="M231">
        <v>0.32157748258097624</v>
      </c>
      <c r="N231">
        <v>0.20755577484246587</v>
      </c>
      <c r="O231">
        <v>14.10816143310506</v>
      </c>
      <c r="P231" s="3">
        <v>57.186040468314332</v>
      </c>
      <c r="Q231" s="3">
        <v>2.8754074181918092</v>
      </c>
    </row>
    <row r="232" spans="1:17" x14ac:dyDescent="0.3">
      <c r="A232" s="13">
        <v>14321</v>
      </c>
      <c r="B232" s="15" t="s">
        <v>160</v>
      </c>
      <c r="C232" s="15" t="s">
        <v>158</v>
      </c>
      <c r="D232" s="24">
        <v>1</v>
      </c>
      <c r="E232" s="1" t="s">
        <v>162</v>
      </c>
      <c r="F232">
        <v>0.3427412510689104</v>
      </c>
      <c r="G232">
        <v>6.3922439460103213</v>
      </c>
      <c r="H232">
        <v>6.2452820195957273</v>
      </c>
      <c r="I232">
        <v>22.623936887305895</v>
      </c>
      <c r="J232">
        <v>0.20753755507192528</v>
      </c>
      <c r="K232">
        <v>7.0754890596857889</v>
      </c>
      <c r="L232">
        <v>1.5523136542916172</v>
      </c>
      <c r="M232">
        <v>0.34894577897084655</v>
      </c>
      <c r="N232">
        <v>0.17502837729252721</v>
      </c>
      <c r="O232">
        <v>12.28148488391515</v>
      </c>
      <c r="P232" s="3">
        <v>54.460372427610373</v>
      </c>
      <c r="Q232" s="3">
        <v>2.817715880782715</v>
      </c>
    </row>
    <row r="233" spans="1:17" x14ac:dyDescent="0.3">
      <c r="A233" s="13">
        <v>14321</v>
      </c>
      <c r="B233" s="15" t="s">
        <v>160</v>
      </c>
      <c r="C233" s="15" t="s">
        <v>158</v>
      </c>
      <c r="D233" s="24">
        <v>1</v>
      </c>
      <c r="E233" s="1" t="s">
        <v>162</v>
      </c>
      <c r="F233">
        <v>0.59349134384226909</v>
      </c>
      <c r="G233">
        <v>3.7991638547042474</v>
      </c>
      <c r="H233">
        <v>7.3090970076794068</v>
      </c>
      <c r="I233">
        <v>21.885386881480621</v>
      </c>
      <c r="J233">
        <v>0.20753755507192528</v>
      </c>
      <c r="K233">
        <v>8.2690311535923815</v>
      </c>
      <c r="L233">
        <v>1.3964829399611847</v>
      </c>
      <c r="M233">
        <v>0.21894637111896256</v>
      </c>
      <c r="N233">
        <v>0.201360080071049</v>
      </c>
      <c r="O233">
        <v>12.374761984299315</v>
      </c>
      <c r="P233" s="3">
        <v>41.362975026485557</v>
      </c>
      <c r="Q233" s="3">
        <v>1.5306618125376978</v>
      </c>
    </row>
    <row r="234" spans="1:17" x14ac:dyDescent="0.3">
      <c r="A234" s="13">
        <v>14321</v>
      </c>
      <c r="B234" s="15" t="s">
        <v>160</v>
      </c>
      <c r="C234" s="15" t="s">
        <v>158</v>
      </c>
      <c r="D234" s="24">
        <v>1</v>
      </c>
      <c r="E234" s="1" t="s">
        <v>162</v>
      </c>
      <c r="F234">
        <v>0.48221171687184367</v>
      </c>
      <c r="G234">
        <v>5.7892020643112341</v>
      </c>
      <c r="H234">
        <v>6.3511342572159943</v>
      </c>
      <c r="I234">
        <v>22.436962202286839</v>
      </c>
      <c r="J234">
        <v>0.24074356388343332</v>
      </c>
      <c r="K234">
        <v>7.6472457513775689</v>
      </c>
      <c r="L234">
        <v>1.234658736618043</v>
      </c>
      <c r="M234">
        <v>0.30789333438604027</v>
      </c>
      <c r="N234">
        <v>0.19361546160677787</v>
      </c>
      <c r="O234">
        <v>12.436946717888759</v>
      </c>
      <c r="P234" s="3">
        <v>51.679886441019342</v>
      </c>
      <c r="Q234" s="3">
        <v>2.4539344274525985</v>
      </c>
    </row>
    <row r="235" spans="1:17" x14ac:dyDescent="0.3">
      <c r="A235" s="13">
        <v>14321</v>
      </c>
      <c r="B235" s="15" t="s">
        <v>160</v>
      </c>
      <c r="C235" s="15" t="s">
        <v>158</v>
      </c>
      <c r="D235" s="24">
        <v>1</v>
      </c>
      <c r="E235" s="1" t="s">
        <v>162</v>
      </c>
      <c r="F235">
        <v>0.44660223624130746</v>
      </c>
      <c r="G235">
        <v>5.9701146288209603</v>
      </c>
      <c r="H235">
        <v>6.3511342572159943</v>
      </c>
      <c r="I235">
        <v>22.016269160993961</v>
      </c>
      <c r="J235">
        <v>0.24904506608631033</v>
      </c>
      <c r="K235">
        <v>7.2898978190702062</v>
      </c>
      <c r="L235">
        <v>1.6601964565203784</v>
      </c>
      <c r="M235">
        <v>0.54736592779740645</v>
      </c>
      <c r="N235">
        <v>0.17812622467823563</v>
      </c>
      <c r="O235">
        <v>12.351442709203274</v>
      </c>
      <c r="P235" s="3">
        <v>52.619877383371303</v>
      </c>
      <c r="Q235" s="3">
        <v>4.2808452109248654</v>
      </c>
    </row>
    <row r="236" spans="1:17" x14ac:dyDescent="0.3">
      <c r="A236" s="13">
        <v>14304</v>
      </c>
      <c r="B236" s="15" t="s">
        <v>160</v>
      </c>
      <c r="C236" s="15" t="s">
        <v>158</v>
      </c>
      <c r="D236" s="24">
        <v>1</v>
      </c>
      <c r="E236" s="1" t="s">
        <v>162</v>
      </c>
      <c r="F236">
        <v>0.29674567192113455</v>
      </c>
      <c r="G236">
        <v>6.0304188169908688</v>
      </c>
      <c r="H236">
        <v>7.515508871038926</v>
      </c>
      <c r="I236">
        <v>22.156500174758254</v>
      </c>
      <c r="J236">
        <v>0.29055257710069538</v>
      </c>
      <c r="K236">
        <v>6.9325498867628426</v>
      </c>
      <c r="L236">
        <v>0.89902335190634197</v>
      </c>
      <c r="M236">
        <v>0.30105126028857682</v>
      </c>
      <c r="N236">
        <v>0.1626369877496934</v>
      </c>
      <c r="O236">
        <v>12.28148488391515</v>
      </c>
      <c r="P236" s="3">
        <v>53.011887460494172</v>
      </c>
      <c r="Q236" s="3">
        <v>2.0363444594765725</v>
      </c>
    </row>
    <row r="237" spans="1:17" x14ac:dyDescent="0.3">
      <c r="A237" s="13">
        <v>14321</v>
      </c>
      <c r="B237" s="15" t="s">
        <v>160</v>
      </c>
      <c r="C237" s="15" t="s">
        <v>158</v>
      </c>
      <c r="D237" s="24">
        <v>1</v>
      </c>
      <c r="E237" s="1" t="s">
        <v>162</v>
      </c>
      <c r="F237">
        <v>0.44511850788170182</v>
      </c>
      <c r="G237">
        <v>5.4876811234616909</v>
      </c>
      <c r="H237">
        <v>7.2508782769882592</v>
      </c>
      <c r="I237">
        <v>22.857655243579718</v>
      </c>
      <c r="J237">
        <v>0.29885407930357238</v>
      </c>
      <c r="K237">
        <v>7.3613674055316798</v>
      </c>
      <c r="L237">
        <v>1.4444308520628564</v>
      </c>
      <c r="M237">
        <v>0.16420977833921779</v>
      </c>
      <c r="N237">
        <v>0.14714775082115117</v>
      </c>
      <c r="O237">
        <v>11.037790212126273</v>
      </c>
      <c r="P237" s="3">
        <v>53.322069408526495</v>
      </c>
      <c r="Q237" s="3">
        <v>1.1615516393697491</v>
      </c>
    </row>
    <row r="238" spans="1:17" x14ac:dyDescent="0.3">
      <c r="A238" s="13">
        <v>14303</v>
      </c>
      <c r="B238" s="15" t="s">
        <v>160</v>
      </c>
      <c r="C238" s="15" t="s">
        <v>158</v>
      </c>
      <c r="D238" s="24">
        <v>1</v>
      </c>
      <c r="E238" s="1" t="s">
        <v>162</v>
      </c>
      <c r="F238">
        <v>0.2077219703447942</v>
      </c>
      <c r="G238">
        <v>6.5128523223501391</v>
      </c>
      <c r="H238">
        <v>7.1979521581781265</v>
      </c>
      <c r="I238">
        <v>21.502088777191553</v>
      </c>
      <c r="J238">
        <v>0.38186910133234253</v>
      </c>
      <c r="K238">
        <v>8.2904720295308234</v>
      </c>
      <c r="L238">
        <v>0.92899079696988673</v>
      </c>
      <c r="M238">
        <v>0.25999881570376748</v>
      </c>
      <c r="N238">
        <v>0.17812622467823563</v>
      </c>
      <c r="O238">
        <v>11.737368465007515</v>
      </c>
      <c r="P238" s="3">
        <v>56.042763568453609</v>
      </c>
      <c r="Q238" s="3">
        <v>1.8399307305982624</v>
      </c>
    </row>
    <row r="239" spans="1:17" x14ac:dyDescent="0.3">
      <c r="A239" s="13">
        <v>14321</v>
      </c>
      <c r="B239" s="15" t="s">
        <v>160</v>
      </c>
      <c r="C239" s="15" t="s">
        <v>158</v>
      </c>
      <c r="D239" s="24">
        <v>1</v>
      </c>
      <c r="E239" s="1" t="s">
        <v>162</v>
      </c>
      <c r="F239">
        <v>0.21810806886203388</v>
      </c>
      <c r="G239">
        <v>3.9016809745930923</v>
      </c>
      <c r="H239">
        <v>4.7633506929119953</v>
      </c>
      <c r="I239">
        <v>21.081395735898674</v>
      </c>
      <c r="J239">
        <v>0.41507511014385057</v>
      </c>
      <c r="K239">
        <v>6.4322627815325353</v>
      </c>
      <c r="L239">
        <v>3.8897743692481068</v>
      </c>
      <c r="M239">
        <v>0.17105185243668949</v>
      </c>
      <c r="N239">
        <v>0.24085763423883166</v>
      </c>
      <c r="O239">
        <v>17.722649072991484</v>
      </c>
      <c r="P239" s="3">
        <v>33.591811331007321</v>
      </c>
      <c r="Q239" s="3">
        <v>1.8293677386017746</v>
      </c>
    </row>
    <row r="240" spans="1:17" x14ac:dyDescent="0.3">
      <c r="A240" s="13">
        <v>14160</v>
      </c>
      <c r="B240" s="15" t="s">
        <v>160</v>
      </c>
      <c r="C240" s="15" t="s">
        <v>158</v>
      </c>
      <c r="D240" s="24">
        <v>1</v>
      </c>
      <c r="E240" s="1" t="s">
        <v>162</v>
      </c>
      <c r="F240">
        <v>0.48963035866987203</v>
      </c>
      <c r="G240">
        <v>3.5579471020246127</v>
      </c>
      <c r="H240">
        <v>10.16181481154559</v>
      </c>
      <c r="I240">
        <v>24.306709052477409</v>
      </c>
      <c r="J240">
        <v>0.41507511014385057</v>
      </c>
      <c r="K240">
        <v>8.5048807889152407</v>
      </c>
      <c r="L240">
        <v>0.87504939585550623</v>
      </c>
      <c r="M240">
        <v>0.32089327517122795</v>
      </c>
      <c r="N240">
        <v>8.5965264953409379E-2</v>
      </c>
      <c r="O240">
        <v>6.0630115249707695</v>
      </c>
      <c r="P240" s="3">
        <v>57.416747804404679</v>
      </c>
      <c r="Q240" s="3">
        <v>1.6122579842538065</v>
      </c>
    </row>
    <row r="241" spans="1:17" x14ac:dyDescent="0.3">
      <c r="A241" s="13">
        <v>14310</v>
      </c>
      <c r="B241" s="15" t="s">
        <v>160</v>
      </c>
      <c r="C241" s="15" t="s">
        <v>158</v>
      </c>
      <c r="D241" s="24">
        <v>1</v>
      </c>
      <c r="E241" s="1" t="s">
        <v>162</v>
      </c>
      <c r="F241">
        <v>0.51188628406395709</v>
      </c>
      <c r="G241">
        <v>4.7037266772528774</v>
      </c>
      <c r="H241">
        <v>10.95570659369759</v>
      </c>
      <c r="I241">
        <v>22.249987517267783</v>
      </c>
      <c r="J241">
        <v>0.41507511014385057</v>
      </c>
      <c r="K241">
        <v>8.7907591347611316</v>
      </c>
      <c r="L241">
        <v>0.71921868152507362</v>
      </c>
      <c r="M241">
        <v>0.12999940785188402</v>
      </c>
      <c r="N241">
        <v>8.5190803106982266E-2</v>
      </c>
      <c r="O241">
        <v>6.296204275931184</v>
      </c>
      <c r="P241" s="3">
        <v>63.188361085627527</v>
      </c>
      <c r="Q241" s="3">
        <v>0.61198279200520189</v>
      </c>
    </row>
    <row r="242" spans="1:17" x14ac:dyDescent="0.3">
      <c r="A242" s="13">
        <v>14078</v>
      </c>
      <c r="B242" s="15" t="s">
        <v>160</v>
      </c>
      <c r="C242" s="15" t="s">
        <v>158</v>
      </c>
      <c r="D242" s="24">
        <v>1</v>
      </c>
      <c r="E242" s="1" t="s">
        <v>162</v>
      </c>
      <c r="F242">
        <v>0.5563981348521273</v>
      </c>
      <c r="G242">
        <v>4.4745707622072244</v>
      </c>
      <c r="H242">
        <v>10.744002118457058</v>
      </c>
      <c r="I242">
        <v>22.109756503503487</v>
      </c>
      <c r="J242">
        <v>0.41507511014385057</v>
      </c>
      <c r="K242">
        <v>9.0766374806070207</v>
      </c>
      <c r="L242">
        <v>0.80312752770299889</v>
      </c>
      <c r="M242">
        <v>0.10947318555948128</v>
      </c>
      <c r="N242">
        <v>8.5190803106982266E-2</v>
      </c>
      <c r="O242">
        <v>6.824774511441456</v>
      </c>
      <c r="P242" s="3">
        <v>60.102769982037358</v>
      </c>
      <c r="Q242" s="3">
        <v>0.52596350958889693</v>
      </c>
    </row>
    <row r="243" spans="1:17" x14ac:dyDescent="0.3">
      <c r="A243" s="13">
        <v>14078</v>
      </c>
      <c r="B243" s="15" t="s">
        <v>160</v>
      </c>
      <c r="C243" s="15" t="s">
        <v>158</v>
      </c>
      <c r="D243" s="24">
        <v>1</v>
      </c>
      <c r="E243" s="1" t="s">
        <v>162</v>
      </c>
      <c r="F243">
        <v>0.5563981348521273</v>
      </c>
      <c r="G243">
        <v>4.4745707622072244</v>
      </c>
      <c r="H243">
        <v>10.744002118457058</v>
      </c>
      <c r="I243">
        <v>22.109756503503487</v>
      </c>
      <c r="J243">
        <v>0.42337661234672758</v>
      </c>
      <c r="K243">
        <v>9.0766374806070207</v>
      </c>
      <c r="L243">
        <v>0.80312752770299889</v>
      </c>
      <c r="M243">
        <v>0.10947318555948128</v>
      </c>
      <c r="N243">
        <v>8.5190803106982266E-2</v>
      </c>
      <c r="O243">
        <v>6.824774511441456</v>
      </c>
      <c r="P243" s="3">
        <v>60.102769982037358</v>
      </c>
      <c r="Q243" s="3">
        <v>0.52596350958889693</v>
      </c>
    </row>
    <row r="244" spans="1:17" x14ac:dyDescent="0.3">
      <c r="A244" s="13">
        <v>14310</v>
      </c>
      <c r="B244" s="15" t="s">
        <v>160</v>
      </c>
      <c r="C244" s="15" t="s">
        <v>158</v>
      </c>
      <c r="D244" s="24">
        <v>1</v>
      </c>
      <c r="E244" s="1" t="s">
        <v>162</v>
      </c>
      <c r="F244">
        <v>0.56381677665015562</v>
      </c>
      <c r="G244">
        <v>4.8243350535926952</v>
      </c>
      <c r="H244">
        <v>10.976877041221641</v>
      </c>
      <c r="I244">
        <v>22.577193216051128</v>
      </c>
      <c r="J244">
        <v>0.43167811454960459</v>
      </c>
      <c r="K244">
        <v>8.2976189881769695</v>
      </c>
      <c r="L244">
        <v>0.74918612658861838</v>
      </c>
      <c r="M244">
        <v>0.11631525965694886</v>
      </c>
      <c r="N244">
        <v>8.5190803106982266E-2</v>
      </c>
      <c r="O244">
        <v>6.0474653415734094</v>
      </c>
      <c r="P244" s="3">
        <v>64.701218411731162</v>
      </c>
      <c r="Q244" s="3">
        <v>0.54686555944103776</v>
      </c>
    </row>
    <row r="245" spans="1:17" x14ac:dyDescent="0.3">
      <c r="A245" s="13">
        <v>14310</v>
      </c>
      <c r="B245" s="15" t="s">
        <v>160</v>
      </c>
      <c r="C245" s="15" t="s">
        <v>158</v>
      </c>
      <c r="D245" s="24">
        <v>1</v>
      </c>
      <c r="E245" s="1" t="s">
        <v>162</v>
      </c>
      <c r="F245">
        <v>0.47000758321366903</v>
      </c>
      <c r="G245">
        <v>4.8005111767848279</v>
      </c>
      <c r="H245">
        <v>10.600681798209916</v>
      </c>
      <c r="I245">
        <v>23.50301088717114</v>
      </c>
      <c r="J245">
        <v>0.44000084821591579</v>
      </c>
      <c r="K245">
        <v>7.8000280409987868</v>
      </c>
      <c r="L245">
        <v>0.79993300306631754</v>
      </c>
      <c r="M245">
        <v>0.11000283933854305</v>
      </c>
      <c r="N245">
        <v>0.11000064747741774</v>
      </c>
      <c r="O245">
        <v>5.999963887737068</v>
      </c>
      <c r="P245" s="3">
        <v>64.768227476465611</v>
      </c>
      <c r="Q245" s="3">
        <v>0.5356017153147109</v>
      </c>
    </row>
    <row r="246" spans="1:17" x14ac:dyDescent="0.3">
      <c r="A246" s="13">
        <v>14305</v>
      </c>
      <c r="B246" s="15" t="s">
        <v>160</v>
      </c>
      <c r="C246" s="15" t="s">
        <v>158</v>
      </c>
      <c r="D246" s="24">
        <v>1</v>
      </c>
      <c r="E246" s="1" t="s">
        <v>162</v>
      </c>
      <c r="F246">
        <v>0.25223382113296439</v>
      </c>
      <c r="G246">
        <v>6.2113313815005959</v>
      </c>
      <c r="H246">
        <v>5.9806514255450614</v>
      </c>
      <c r="I246">
        <v>19.67908559825575</v>
      </c>
      <c r="J246">
        <v>0.46488412336111268</v>
      </c>
      <c r="K246">
        <v>8.0045936836849325</v>
      </c>
      <c r="L246">
        <v>3.0566793964815626</v>
      </c>
      <c r="M246">
        <v>0.31473540848350867</v>
      </c>
      <c r="N246">
        <v>0.17812622467823563</v>
      </c>
      <c r="O246">
        <v>14.302488725572072</v>
      </c>
      <c r="P246" s="3">
        <v>49.945990339546768</v>
      </c>
      <c r="Q246" s="3">
        <v>2.6582776695167594</v>
      </c>
    </row>
    <row r="247" spans="1:17" x14ac:dyDescent="0.3">
      <c r="A247" s="13">
        <v>14168</v>
      </c>
      <c r="B247" s="15" t="s">
        <v>160</v>
      </c>
      <c r="C247" s="15" t="s">
        <v>158</v>
      </c>
      <c r="D247" s="24">
        <v>1</v>
      </c>
      <c r="E247" s="1" t="s">
        <v>162</v>
      </c>
      <c r="F247">
        <v>0.2715222898078381</v>
      </c>
      <c r="G247">
        <v>6.633460698689956</v>
      </c>
      <c r="H247">
        <v>6.5628387324565276</v>
      </c>
      <c r="I247">
        <v>22.343474859777309</v>
      </c>
      <c r="J247">
        <v>0.47318562556398963</v>
      </c>
      <c r="K247">
        <v>7.0754890596857889</v>
      </c>
      <c r="L247">
        <v>1.018893132160521</v>
      </c>
      <c r="M247">
        <v>0.37562986795097092</v>
      </c>
      <c r="N247">
        <v>0.16650929698182895</v>
      </c>
      <c r="O247">
        <v>12.048292132954735</v>
      </c>
      <c r="P247" s="3">
        <v>55.850617245561118</v>
      </c>
      <c r="Q247" s="3">
        <v>2.8844393369408938</v>
      </c>
    </row>
    <row r="248" spans="1:17" x14ac:dyDescent="0.3">
      <c r="A248" s="13">
        <v>14163</v>
      </c>
      <c r="B248" s="15" t="s">
        <v>160</v>
      </c>
      <c r="C248" s="15" t="s">
        <v>158</v>
      </c>
      <c r="D248" s="24">
        <v>1</v>
      </c>
      <c r="E248" s="1" t="s">
        <v>162</v>
      </c>
      <c r="F248">
        <v>0.50446764226592877</v>
      </c>
      <c r="G248">
        <v>5.5359244739976177</v>
      </c>
      <c r="H248">
        <v>9.2991190749404176</v>
      </c>
      <c r="I248">
        <v>22.422939100910408</v>
      </c>
      <c r="J248">
        <v>0.48148712776686664</v>
      </c>
      <c r="K248">
        <v>8.2190024430693498</v>
      </c>
      <c r="L248">
        <v>1.0608475552494836</v>
      </c>
      <c r="M248">
        <v>0.13684148194934975</v>
      </c>
      <c r="N248">
        <v>0.10842465849979561</v>
      </c>
      <c r="O248">
        <v>8.0917884583263735</v>
      </c>
      <c r="P248" s="3">
        <v>61.11875333474638</v>
      </c>
      <c r="Q248" s="3">
        <v>0.75783800258901879</v>
      </c>
    </row>
    <row r="249" spans="1:17" x14ac:dyDescent="0.3">
      <c r="A249" s="13">
        <v>14160</v>
      </c>
      <c r="B249" s="15" t="s">
        <v>160</v>
      </c>
      <c r="C249" s="15" t="s">
        <v>158</v>
      </c>
      <c r="D249" s="24">
        <v>1</v>
      </c>
      <c r="E249" s="1" t="s">
        <v>162</v>
      </c>
      <c r="F249">
        <v>0.50446764226592877</v>
      </c>
      <c r="G249">
        <v>3.4976429138547038</v>
      </c>
      <c r="H249">
        <v>11.167411068938124</v>
      </c>
      <c r="I249">
        <v>23.371835627382122</v>
      </c>
      <c r="J249">
        <v>0.49809013217262066</v>
      </c>
      <c r="K249">
        <v>9.2195766535299679</v>
      </c>
      <c r="L249">
        <v>0.79114054967758107</v>
      </c>
      <c r="M249">
        <v>6.5683911335688364E-2</v>
      </c>
      <c r="N249">
        <v>8.0544032028419588E-2</v>
      </c>
      <c r="O249">
        <v>5.7520878570235512</v>
      </c>
      <c r="P249" s="3">
        <v>58.283548604032084</v>
      </c>
      <c r="Q249" s="3">
        <v>0.30428964849395129</v>
      </c>
    </row>
    <row r="250" spans="1:17" x14ac:dyDescent="0.3">
      <c r="A250" s="13">
        <v>14163</v>
      </c>
      <c r="B250" s="15" t="s">
        <v>160</v>
      </c>
      <c r="C250" s="15" t="s">
        <v>158</v>
      </c>
      <c r="D250" s="24">
        <v>1</v>
      </c>
      <c r="E250" s="1" t="s">
        <v>162</v>
      </c>
      <c r="F250">
        <v>0.54156085125607056</v>
      </c>
      <c r="G250">
        <v>5.6203503374354904</v>
      </c>
      <c r="H250">
        <v>9.2620707917733238</v>
      </c>
      <c r="I250">
        <v>22.577193216051128</v>
      </c>
      <c r="J250">
        <v>0.50639163437549772</v>
      </c>
      <c r="K250">
        <v>7.9331240972234598</v>
      </c>
      <c r="L250">
        <v>1.0908150003130284</v>
      </c>
      <c r="M250">
        <v>0.12315733375441738</v>
      </c>
      <c r="N250">
        <v>0.10842465849979561</v>
      </c>
      <c r="O250">
        <v>8.0062844496408889</v>
      </c>
      <c r="P250" s="3">
        <v>61.729087601517705</v>
      </c>
      <c r="Q250" s="3">
        <v>0.68528305667478662</v>
      </c>
    </row>
    <row r="251" spans="1:17" x14ac:dyDescent="0.3">
      <c r="A251" s="13">
        <v>14305</v>
      </c>
      <c r="B251" s="15" t="s">
        <v>160</v>
      </c>
      <c r="C251" s="15" t="s">
        <v>158</v>
      </c>
      <c r="D251" s="24">
        <v>1</v>
      </c>
      <c r="E251" s="1" t="s">
        <v>162</v>
      </c>
      <c r="F251">
        <v>0.25223382113296439</v>
      </c>
      <c r="G251">
        <v>9.0456282254863041</v>
      </c>
      <c r="H251">
        <v>5.2396857622031954</v>
      </c>
      <c r="I251">
        <v>20.47372800958674</v>
      </c>
      <c r="J251">
        <v>0.51469313657837468</v>
      </c>
      <c r="K251">
        <v>6.4322627815325353</v>
      </c>
      <c r="L251">
        <v>1.4384373630501472</v>
      </c>
      <c r="M251">
        <v>0.39684029765311962</v>
      </c>
      <c r="N251">
        <v>0.17812622467823563</v>
      </c>
      <c r="O251">
        <v>14.069295974611659</v>
      </c>
      <c r="P251" s="3">
        <v>59.632714801945852</v>
      </c>
      <c r="Q251" s="3">
        <v>3.7815771202734454</v>
      </c>
    </row>
    <row r="252" spans="1:17" x14ac:dyDescent="0.3">
      <c r="A252" s="13">
        <v>14305</v>
      </c>
      <c r="B252" s="15" t="s">
        <v>160</v>
      </c>
      <c r="C252" s="15" t="s">
        <v>158</v>
      </c>
      <c r="D252" s="24">
        <v>1</v>
      </c>
      <c r="E252" s="1" t="s">
        <v>162</v>
      </c>
      <c r="F252">
        <v>0.25223382113296439</v>
      </c>
      <c r="G252">
        <v>9.0456282254863041</v>
      </c>
      <c r="H252">
        <v>5.2396857622031954</v>
      </c>
      <c r="I252">
        <v>20.47372800958674</v>
      </c>
      <c r="J252">
        <v>0.51469313657837468</v>
      </c>
      <c r="K252">
        <v>6.4322627815325353</v>
      </c>
      <c r="L252">
        <v>1.4384373630501472</v>
      </c>
      <c r="M252">
        <v>0.39684029765311962</v>
      </c>
      <c r="N252">
        <v>0.17812622467823563</v>
      </c>
      <c r="O252">
        <v>14.069295974611659</v>
      </c>
      <c r="P252" s="3">
        <v>59.632714801945852</v>
      </c>
      <c r="Q252" s="3">
        <v>3.7815771202734454</v>
      </c>
    </row>
    <row r="253" spans="1:17" x14ac:dyDescent="0.3">
      <c r="A253" s="13">
        <v>14155</v>
      </c>
      <c r="B253" s="15" t="s">
        <v>160</v>
      </c>
      <c r="C253" s="15" t="s">
        <v>158</v>
      </c>
      <c r="D253" s="24">
        <v>1</v>
      </c>
      <c r="E253" s="1" t="s">
        <v>162</v>
      </c>
      <c r="F253">
        <v>0.69735232901466615</v>
      </c>
      <c r="G253">
        <v>8.9250198491464872</v>
      </c>
      <c r="H253">
        <v>8.256474534380791</v>
      </c>
      <c r="I253">
        <v>21.502088777191553</v>
      </c>
      <c r="J253">
        <v>0.5312961409841287</v>
      </c>
      <c r="K253">
        <v>6.7181411273784262</v>
      </c>
      <c r="L253">
        <v>1.1447564014274088</v>
      </c>
      <c r="M253">
        <v>5.8157629828475089E-2</v>
      </c>
      <c r="N253">
        <v>9.6807730803388933E-2</v>
      </c>
      <c r="O253">
        <v>8.1617462836144981</v>
      </c>
      <c r="P253" s="3">
        <v>71.530657056870879</v>
      </c>
      <c r="Q253" s="3">
        <v>0.36419308736774986</v>
      </c>
    </row>
    <row r="254" spans="1:17" x14ac:dyDescent="0.3">
      <c r="A254" s="13">
        <v>14181</v>
      </c>
      <c r="B254" s="15" t="s">
        <v>160</v>
      </c>
      <c r="C254" s="15" t="s">
        <v>158</v>
      </c>
      <c r="D254" s="24">
        <v>1</v>
      </c>
      <c r="E254" s="1" t="s">
        <v>162</v>
      </c>
      <c r="F254">
        <v>0.31900159731521965</v>
      </c>
      <c r="G254">
        <v>6.0907230051607772</v>
      </c>
      <c r="H254">
        <v>7.3038043957983936</v>
      </c>
      <c r="I254">
        <v>21.408601434682023</v>
      </c>
      <c r="J254">
        <v>0.54374839428844424</v>
      </c>
      <c r="K254">
        <v>8.0760632701464061</v>
      </c>
      <c r="L254">
        <v>1.1687303574782446</v>
      </c>
      <c r="M254">
        <v>0.30789333438604111</v>
      </c>
      <c r="N254">
        <v>0.17967514837108986</v>
      </c>
      <c r="O254">
        <v>12.126023049941539</v>
      </c>
      <c r="P254" s="3">
        <v>53.57665294217194</v>
      </c>
      <c r="Q254" s="3">
        <v>2.1407079677603638</v>
      </c>
    </row>
    <row r="255" spans="1:17" x14ac:dyDescent="0.3">
      <c r="A255" s="13">
        <v>14305</v>
      </c>
      <c r="B255" s="15" t="s">
        <v>160</v>
      </c>
      <c r="C255" s="15" t="s">
        <v>158</v>
      </c>
      <c r="D255" s="24">
        <v>1</v>
      </c>
      <c r="E255" s="1" t="s">
        <v>162</v>
      </c>
      <c r="F255">
        <v>0.30416431371916292</v>
      </c>
      <c r="G255">
        <v>5.9701146288209603</v>
      </c>
      <c r="H255">
        <v>6.8803954453173271</v>
      </c>
      <c r="I255">
        <v>21.174883078408204</v>
      </c>
      <c r="J255">
        <v>0.66412017623016095</v>
      </c>
      <c r="K255">
        <v>8.2904720295308234</v>
      </c>
      <c r="L255">
        <v>1.3185675827959684</v>
      </c>
      <c r="M255">
        <v>0.40573499397982749</v>
      </c>
      <c r="N255">
        <v>0.1548923692854223</v>
      </c>
      <c r="O255">
        <v>12.436946717888759</v>
      </c>
      <c r="P255" s="3">
        <v>52.447851944621995</v>
      </c>
      <c r="Q255" s="3">
        <v>2.9692227533449014</v>
      </c>
    </row>
    <row r="256" spans="1:17" x14ac:dyDescent="0.3">
      <c r="A256" s="13">
        <v>14304</v>
      </c>
      <c r="B256" s="15" t="s">
        <v>160</v>
      </c>
      <c r="C256" s="15" t="s">
        <v>158</v>
      </c>
      <c r="D256" s="24">
        <v>1</v>
      </c>
      <c r="E256" s="1" t="s">
        <v>162</v>
      </c>
      <c r="F256">
        <v>0.44511850788170182</v>
      </c>
      <c r="G256">
        <v>5.7650803890432707</v>
      </c>
      <c r="H256">
        <v>8.4681790096213252</v>
      </c>
      <c r="I256">
        <v>22.904398914834481</v>
      </c>
      <c r="J256">
        <v>0.7969442114761931</v>
      </c>
      <c r="K256">
        <v>7.7187153378390425</v>
      </c>
      <c r="L256">
        <v>1.0968084893257373</v>
      </c>
      <c r="M256">
        <v>0.34210370487337927</v>
      </c>
      <c r="N256">
        <v>0.11616927696406672</v>
      </c>
      <c r="O256">
        <v>8.2394772006013017</v>
      </c>
      <c r="P256" s="3">
        <v>61.651451804218951</v>
      </c>
      <c r="Q256" s="3">
        <v>2.0533433059268273</v>
      </c>
    </row>
    <row r="257" spans="1:17" x14ac:dyDescent="0.3">
      <c r="A257" s="13">
        <v>14304</v>
      </c>
      <c r="B257" s="15" t="s">
        <v>160</v>
      </c>
      <c r="C257" s="15" t="s">
        <v>158</v>
      </c>
      <c r="D257" s="24">
        <v>1</v>
      </c>
      <c r="E257" s="1" t="s">
        <v>162</v>
      </c>
      <c r="F257">
        <v>0.44511850788170182</v>
      </c>
      <c r="G257">
        <v>6.2716355696705044</v>
      </c>
      <c r="H257">
        <v>7.9918439403301251</v>
      </c>
      <c r="I257">
        <v>24.353452723732172</v>
      </c>
      <c r="J257">
        <v>0.88826073570784025</v>
      </c>
      <c r="K257">
        <v>6.4751445334094191</v>
      </c>
      <c r="L257">
        <v>0.64130332435985737</v>
      </c>
      <c r="M257">
        <v>0.17105185243668813</v>
      </c>
      <c r="N257">
        <v>0.11616927696406672</v>
      </c>
      <c r="O257">
        <v>7.9285535326540835</v>
      </c>
      <c r="P257" s="3">
        <v>64.507600245329613</v>
      </c>
      <c r="Q257" s="3">
        <v>1.0984694987983556</v>
      </c>
    </row>
    <row r="258" spans="1:17" x14ac:dyDescent="0.3">
      <c r="A258" s="13">
        <v>14304</v>
      </c>
      <c r="B258" s="15" t="s">
        <v>160</v>
      </c>
      <c r="C258" s="15" t="s">
        <v>158</v>
      </c>
      <c r="D258" s="24">
        <v>1</v>
      </c>
      <c r="E258" s="1" t="s">
        <v>162</v>
      </c>
      <c r="F258">
        <v>0.4154439406895884</v>
      </c>
      <c r="G258">
        <v>4.7640308654227868</v>
      </c>
      <c r="H258">
        <v>7.9918439403301251</v>
      </c>
      <c r="I258">
        <v>22.577193216051128</v>
      </c>
      <c r="J258">
        <v>0.92146674451934829</v>
      </c>
      <c r="K258">
        <v>8.3619416159922952</v>
      </c>
      <c r="L258">
        <v>1.360522005884931</v>
      </c>
      <c r="M258">
        <v>0.20526222292402529</v>
      </c>
      <c r="N258">
        <v>0.12391389542833783</v>
      </c>
      <c r="O258">
        <v>9.7940955403373966</v>
      </c>
      <c r="P258" s="3">
        <v>52.777446117623441</v>
      </c>
      <c r="Q258" s="3">
        <v>1.3152738222055025</v>
      </c>
    </row>
    <row r="259" spans="1:17" x14ac:dyDescent="0.3">
      <c r="A259" s="13">
        <v>14304</v>
      </c>
      <c r="B259" s="15" t="s">
        <v>160</v>
      </c>
      <c r="C259" s="15" t="s">
        <v>158</v>
      </c>
      <c r="D259" s="24">
        <v>1</v>
      </c>
      <c r="E259" s="1" t="s">
        <v>162</v>
      </c>
      <c r="F259">
        <v>0.37835073169944655</v>
      </c>
      <c r="G259">
        <v>5.9098104406510519</v>
      </c>
      <c r="H259">
        <v>6.3511342572159943</v>
      </c>
      <c r="I259">
        <v>21.782550804720138</v>
      </c>
      <c r="J259">
        <v>1.0127832687509954</v>
      </c>
      <c r="K259">
        <v>7.8616545107619871</v>
      </c>
      <c r="L259">
        <v>1.3305545608213862</v>
      </c>
      <c r="M259">
        <v>0.38999822355565011</v>
      </c>
      <c r="N259">
        <v>0.21684931699959123</v>
      </c>
      <c r="O259">
        <v>12.28148488391515</v>
      </c>
      <c r="P259" s="3">
        <v>52.508363199416742</v>
      </c>
      <c r="Q259" s="3">
        <v>3.0881088968063621</v>
      </c>
    </row>
    <row r="260" spans="1:17" x14ac:dyDescent="0.3">
      <c r="A260" s="13">
        <v>14305</v>
      </c>
      <c r="B260" s="15" t="s">
        <v>160</v>
      </c>
      <c r="C260" s="15" t="s">
        <v>158</v>
      </c>
      <c r="D260" s="24">
        <v>1</v>
      </c>
      <c r="E260" s="1" t="s">
        <v>162</v>
      </c>
      <c r="F260">
        <v>0.39318801529550329</v>
      </c>
      <c r="G260">
        <v>5.6082894998015087</v>
      </c>
      <c r="H260">
        <v>6.6157648512666603</v>
      </c>
      <c r="I260">
        <v>21.268370420917734</v>
      </c>
      <c r="J260">
        <v>1.0376877753596263</v>
      </c>
      <c r="K260">
        <v>7.8616545107619871</v>
      </c>
      <c r="L260">
        <v>1.018893132160521</v>
      </c>
      <c r="M260">
        <v>0.52341866845626983</v>
      </c>
      <c r="N260">
        <v>0.17038160621396453</v>
      </c>
      <c r="O260">
        <v>13.369717721730416</v>
      </c>
      <c r="P260" s="3">
        <v>49.078889184341165</v>
      </c>
      <c r="Q260" s="3">
        <v>3.9436593035644356</v>
      </c>
    </row>
    <row r="261" spans="1:17" x14ac:dyDescent="0.3">
      <c r="A261" s="13">
        <v>14305</v>
      </c>
      <c r="B261" s="15" t="s">
        <v>160</v>
      </c>
      <c r="C261" s="15" t="s">
        <v>158</v>
      </c>
      <c r="D261" s="24">
        <v>1</v>
      </c>
      <c r="E261" s="1" t="s">
        <v>162</v>
      </c>
      <c r="F261">
        <v>0.43028122428564508</v>
      </c>
      <c r="G261">
        <v>4.643422489082969</v>
      </c>
      <c r="H261">
        <v>7.0920999205578603</v>
      </c>
      <c r="I261">
        <v>22.951142586089247</v>
      </c>
      <c r="J261">
        <v>1.1622103084027815</v>
      </c>
      <c r="K261">
        <v>8.6478199618381861</v>
      </c>
      <c r="L261">
        <v>1.1387629124146998</v>
      </c>
      <c r="M261">
        <v>0.35920889011704793</v>
      </c>
      <c r="N261">
        <v>0.1548923692854223</v>
      </c>
      <c r="O261">
        <v>10.18275012527142</v>
      </c>
      <c r="P261" s="3">
        <v>51.166150502801933</v>
      </c>
      <c r="Q261" s="3">
        <v>2.5609981235486834</v>
      </c>
    </row>
    <row r="262" spans="1:17" x14ac:dyDescent="0.3">
      <c r="A262" s="13">
        <v>14304</v>
      </c>
      <c r="B262" s="15" t="s">
        <v>160</v>
      </c>
      <c r="C262" s="15" t="s">
        <v>158</v>
      </c>
      <c r="D262" s="24">
        <v>1</v>
      </c>
      <c r="E262" s="1" t="s">
        <v>162</v>
      </c>
      <c r="F262">
        <v>0.52672356766001382</v>
      </c>
      <c r="G262">
        <v>4.3419015482334258</v>
      </c>
      <c r="H262">
        <v>6.2982081384058608</v>
      </c>
      <c r="I262">
        <v>21.642319790955845</v>
      </c>
      <c r="J262">
        <v>1.4195568766919688</v>
      </c>
      <c r="K262">
        <v>7.1469586461472616</v>
      </c>
      <c r="L262">
        <v>3.5601324735491149</v>
      </c>
      <c r="M262">
        <v>0.18473600063162801</v>
      </c>
      <c r="N262">
        <v>0.13165851389260896</v>
      </c>
      <c r="O262">
        <v>12.28148488391515</v>
      </c>
      <c r="P262" s="3">
        <v>44.821572161375293</v>
      </c>
      <c r="Q262" s="3">
        <v>1.4992643197625675</v>
      </c>
    </row>
    <row r="263" spans="1:17" x14ac:dyDescent="0.3">
      <c r="A263" s="18">
        <v>15003</v>
      </c>
      <c r="B263" s="15" t="s">
        <v>160</v>
      </c>
      <c r="C263" s="15" t="s">
        <v>158</v>
      </c>
      <c r="D263" s="24">
        <v>1</v>
      </c>
      <c r="E263" s="1" t="s">
        <v>162</v>
      </c>
      <c r="F263">
        <v>0.64542183642846762</v>
      </c>
      <c r="G263">
        <v>5.8495062524811425</v>
      </c>
      <c r="H263">
        <v>8.3094006531909255</v>
      </c>
      <c r="I263">
        <v>22.99788625734401</v>
      </c>
      <c r="J263">
        <v>0.45658262115823567</v>
      </c>
      <c r="K263">
        <v>7.2898978190702062</v>
      </c>
      <c r="L263">
        <v>1.5583071433043263</v>
      </c>
      <c r="M263">
        <v>0.19842014882655981</v>
      </c>
      <c r="N263">
        <v>0.10842465849979561</v>
      </c>
      <c r="O263">
        <v>7.9285535326540835</v>
      </c>
      <c r="P263" s="3">
        <v>62.896624474858747</v>
      </c>
      <c r="Q263" s="3">
        <v>1.223972972982706</v>
      </c>
    </row>
    <row r="264" spans="1:17" x14ac:dyDescent="0.3">
      <c r="A264" s="18">
        <v>15016</v>
      </c>
      <c r="B264" s="15" t="s">
        <v>160</v>
      </c>
      <c r="C264" s="15" t="s">
        <v>158</v>
      </c>
      <c r="D264" s="24">
        <v>1</v>
      </c>
      <c r="E264" s="1" t="s">
        <v>162</v>
      </c>
      <c r="F264">
        <v>0.23739653753690765</v>
      </c>
      <c r="G264">
        <v>7.0254379217943628</v>
      </c>
      <c r="H264">
        <v>4.4405013681701826</v>
      </c>
      <c r="I264">
        <v>20.707446365860559</v>
      </c>
      <c r="J264">
        <v>4.150751101438506E-2</v>
      </c>
      <c r="K264">
        <v>6.5752019544554798</v>
      </c>
      <c r="L264">
        <v>1.360522005884931</v>
      </c>
      <c r="M264">
        <v>0.45157689043286031</v>
      </c>
      <c r="N264">
        <v>0.2245939354638623</v>
      </c>
      <c r="O264">
        <v>17.839245448471686</v>
      </c>
      <c r="P264" s="3">
        <v>47.502944733005776</v>
      </c>
      <c r="Q264" s="3">
        <v>5.0126751422963247</v>
      </c>
    </row>
    <row r="265" spans="1:17" x14ac:dyDescent="0.3">
      <c r="A265" s="18">
        <v>15016</v>
      </c>
      <c r="B265" s="15" t="s">
        <v>160</v>
      </c>
      <c r="C265" s="15" t="s">
        <v>158</v>
      </c>
      <c r="D265" s="24">
        <v>1</v>
      </c>
      <c r="E265" s="1" t="s">
        <v>162</v>
      </c>
      <c r="F265">
        <v>0.23739653753690765</v>
      </c>
      <c r="G265">
        <v>7.0254379217943628</v>
      </c>
      <c r="H265">
        <v>4.4405013681701826</v>
      </c>
      <c r="I265">
        <v>20.707446365860559</v>
      </c>
      <c r="J265">
        <v>4.150751101438506E-2</v>
      </c>
      <c r="K265">
        <v>6.5752019544554798</v>
      </c>
      <c r="L265">
        <v>1.360522005884931</v>
      </c>
      <c r="M265">
        <v>0.45157689043286031</v>
      </c>
      <c r="N265">
        <v>0.2245939354638623</v>
      </c>
      <c r="O265">
        <v>17.839245448471686</v>
      </c>
      <c r="P265" s="3">
        <v>47.502944733005776</v>
      </c>
      <c r="Q265" s="3">
        <v>5.0126751422963247</v>
      </c>
    </row>
    <row r="266" spans="1:17" x14ac:dyDescent="0.3">
      <c r="A266" s="18">
        <v>15016</v>
      </c>
      <c r="B266" s="15" t="s">
        <v>160</v>
      </c>
      <c r="C266" s="15" t="s">
        <v>158</v>
      </c>
      <c r="D266" s="24">
        <v>1</v>
      </c>
      <c r="E266" s="1" t="s">
        <v>162</v>
      </c>
      <c r="F266">
        <v>0.23739653753690765</v>
      </c>
      <c r="G266">
        <v>6.5369739976181016</v>
      </c>
      <c r="H266">
        <v>4.509305322623355</v>
      </c>
      <c r="I266">
        <v>20.688748897358654</v>
      </c>
      <c r="J266">
        <v>4.150751101438506E-2</v>
      </c>
      <c r="K266">
        <v>6.7395820033168672</v>
      </c>
      <c r="L266">
        <v>1.3725089839103488</v>
      </c>
      <c r="M266">
        <v>0.54736592779740645</v>
      </c>
      <c r="N266">
        <v>0.24008317239240456</v>
      </c>
      <c r="O266">
        <v>17.823699265074328</v>
      </c>
      <c r="P266" s="3">
        <v>45.731497295344077</v>
      </c>
      <c r="Q266" s="3">
        <v>5.925746923164839</v>
      </c>
    </row>
    <row r="267" spans="1:17" x14ac:dyDescent="0.3">
      <c r="A267" s="18">
        <v>15016</v>
      </c>
      <c r="B267" s="15" t="s">
        <v>160</v>
      </c>
      <c r="C267" s="15" t="s">
        <v>158</v>
      </c>
      <c r="D267" s="24">
        <v>1</v>
      </c>
      <c r="E267" s="1" t="s">
        <v>162</v>
      </c>
      <c r="F267">
        <v>0.17804740315268072</v>
      </c>
      <c r="G267">
        <v>6.983224990075426</v>
      </c>
      <c r="H267">
        <v>4.324063906787889</v>
      </c>
      <c r="I267">
        <v>20.464379275335787</v>
      </c>
      <c r="J267">
        <v>3.3206008811508043E-2</v>
      </c>
      <c r="K267">
        <v>6.4751445334094191</v>
      </c>
      <c r="L267">
        <v>1.3665154948976397</v>
      </c>
      <c r="M267">
        <v>0.75262815072143385</v>
      </c>
      <c r="N267">
        <v>0.25557240932094677</v>
      </c>
      <c r="O267">
        <v>17.489456322031067</v>
      </c>
      <c r="P267" s="3">
        <v>47.846596529759317</v>
      </c>
      <c r="Q267" s="3">
        <v>8.2839575352588977</v>
      </c>
    </row>
    <row r="268" spans="1:17" x14ac:dyDescent="0.3">
      <c r="A268" s="18">
        <v>15058</v>
      </c>
      <c r="B268" s="15" t="s">
        <v>160</v>
      </c>
      <c r="C268" s="15" t="s">
        <v>158</v>
      </c>
      <c r="D268" s="24">
        <v>1</v>
      </c>
      <c r="E268" s="1" t="s">
        <v>162</v>
      </c>
      <c r="F268">
        <v>0.2077219703447942</v>
      </c>
      <c r="G268">
        <v>5.7650803890432707</v>
      </c>
      <c r="H268">
        <v>4.7104245741018627</v>
      </c>
      <c r="I268">
        <v>22.656657457184231</v>
      </c>
      <c r="J268">
        <v>3.1545708370932644E-2</v>
      </c>
      <c r="K268">
        <v>7.3113386950086481</v>
      </c>
      <c r="L268">
        <v>0.9589582420334315</v>
      </c>
      <c r="M268">
        <v>0.45157689043286031</v>
      </c>
      <c r="N268">
        <v>0.21220254592102855</v>
      </c>
      <c r="O268">
        <v>15.351856104893937</v>
      </c>
      <c r="P268" s="3">
        <v>46.31868907336704</v>
      </c>
      <c r="Q268" s="3">
        <v>4.7390445423395304</v>
      </c>
    </row>
    <row r="269" spans="1:17" x14ac:dyDescent="0.3">
      <c r="A269" s="18">
        <v>15058</v>
      </c>
      <c r="B269" s="15" t="s">
        <v>160</v>
      </c>
      <c r="C269" s="15" t="s">
        <v>158</v>
      </c>
      <c r="D269" s="24">
        <v>1</v>
      </c>
      <c r="E269" s="1" t="s">
        <v>162</v>
      </c>
      <c r="F269">
        <v>0.2077219703447942</v>
      </c>
      <c r="G269">
        <v>5.7650803890432707</v>
      </c>
      <c r="H269">
        <v>4.7104245741018627</v>
      </c>
      <c r="I269">
        <v>22.656657457184231</v>
      </c>
      <c r="J269">
        <v>3.1545708370932644E-2</v>
      </c>
      <c r="K269">
        <v>7.3113386950086481</v>
      </c>
      <c r="L269">
        <v>0.9589582420334315</v>
      </c>
      <c r="M269">
        <v>0.45157689043286031</v>
      </c>
      <c r="N269">
        <v>0.21220254592102855</v>
      </c>
      <c r="O269">
        <v>15.351856104893937</v>
      </c>
      <c r="P269" s="3">
        <v>46.31868907336704</v>
      </c>
      <c r="Q269" s="3">
        <v>4.7390445423395304</v>
      </c>
    </row>
    <row r="270" spans="1:17" x14ac:dyDescent="0.3">
      <c r="A270" s="18">
        <v>15065</v>
      </c>
      <c r="B270" s="15" t="s">
        <v>160</v>
      </c>
      <c r="C270" s="15" t="s">
        <v>158</v>
      </c>
      <c r="D270" s="24">
        <v>1</v>
      </c>
      <c r="E270" s="1" t="s">
        <v>162</v>
      </c>
      <c r="F270">
        <v>0.24481517933493602</v>
      </c>
      <c r="G270">
        <v>6.2414834755855493</v>
      </c>
      <c r="H270">
        <v>5.4619754612057552</v>
      </c>
      <c r="I270">
        <v>22.530449544796369</v>
      </c>
      <c r="J270">
        <v>3.403615903179575E-2</v>
      </c>
      <c r="K270">
        <v>6.8253455070706348</v>
      </c>
      <c r="L270">
        <v>0.8630624178300883</v>
      </c>
      <c r="M270">
        <v>0.32157748258097624</v>
      </c>
      <c r="N270">
        <v>0.18122407206394409</v>
      </c>
      <c r="O270">
        <v>14.349127275764156</v>
      </c>
      <c r="P270" s="3">
        <v>49.985666819333439</v>
      </c>
      <c r="Q270" s="3">
        <v>2.964627724062785</v>
      </c>
    </row>
    <row r="271" spans="1:17" x14ac:dyDescent="0.3">
      <c r="A271" s="18">
        <v>15065</v>
      </c>
      <c r="B271" s="15" t="s">
        <v>160</v>
      </c>
      <c r="C271" s="15" t="s">
        <v>158</v>
      </c>
      <c r="D271" s="24">
        <v>1</v>
      </c>
      <c r="E271" s="1" t="s">
        <v>162</v>
      </c>
      <c r="F271">
        <v>0.18546604495070909</v>
      </c>
      <c r="G271">
        <v>6.1208750992457324</v>
      </c>
      <c r="H271">
        <v>2.820962132580104</v>
      </c>
      <c r="I271">
        <v>22.413590366659456</v>
      </c>
      <c r="J271">
        <v>5.8110515420139085E-2</v>
      </c>
      <c r="K271">
        <v>6.6466715409169534</v>
      </c>
      <c r="L271">
        <v>1.3785024729230577</v>
      </c>
      <c r="M271">
        <v>0.34210370487337899</v>
      </c>
      <c r="N271">
        <v>0.24008317239240456</v>
      </c>
      <c r="O271">
        <v>18.34449640888592</v>
      </c>
      <c r="P271" s="3">
        <v>43.395650179035705</v>
      </c>
      <c r="Q271" s="3">
        <v>5.9205171745167497</v>
      </c>
    </row>
    <row r="272" spans="1:17" x14ac:dyDescent="0.3">
      <c r="A272" s="18">
        <v>15065</v>
      </c>
      <c r="B272" s="15" t="s">
        <v>160</v>
      </c>
      <c r="C272" s="15" t="s">
        <v>158</v>
      </c>
      <c r="D272" s="24">
        <v>1</v>
      </c>
      <c r="E272" s="1" t="s">
        <v>162</v>
      </c>
      <c r="F272">
        <v>0.18546604495070909</v>
      </c>
      <c r="G272">
        <v>6.1208750992457324</v>
      </c>
      <c r="H272">
        <v>2.820962132580104</v>
      </c>
      <c r="I272">
        <v>22.413590366659456</v>
      </c>
      <c r="J272">
        <v>5.8110515420139085E-2</v>
      </c>
      <c r="K272">
        <v>6.6466715409169534</v>
      </c>
      <c r="L272">
        <v>1.3785024729230577</v>
      </c>
      <c r="M272">
        <v>0.34210370487337899</v>
      </c>
      <c r="N272">
        <v>0.24008317239240456</v>
      </c>
      <c r="O272">
        <v>18.34449640888592</v>
      </c>
      <c r="P272" s="3">
        <v>43.395650179035705</v>
      </c>
      <c r="Q272" s="3">
        <v>5.9205171745167497</v>
      </c>
    </row>
    <row r="273" spans="1:17" x14ac:dyDescent="0.3">
      <c r="A273" s="18">
        <v>15065</v>
      </c>
      <c r="B273" s="15" t="s">
        <v>160</v>
      </c>
      <c r="C273" s="15" t="s">
        <v>158</v>
      </c>
      <c r="D273" s="24">
        <v>1</v>
      </c>
      <c r="E273" s="1" t="s">
        <v>162</v>
      </c>
      <c r="F273">
        <v>0.25223382113296439</v>
      </c>
      <c r="G273">
        <v>6.3801831083763396</v>
      </c>
      <c r="H273">
        <v>4.900958601818342</v>
      </c>
      <c r="I273">
        <v>22.656657457184231</v>
      </c>
      <c r="J273">
        <v>4.150751101438506E-2</v>
      </c>
      <c r="K273">
        <v>7.1040768942703769</v>
      </c>
      <c r="L273">
        <v>0.88703637388092416</v>
      </c>
      <c r="M273">
        <v>0.36262992716578174</v>
      </c>
      <c r="N273">
        <v>0.201360080071049</v>
      </c>
      <c r="O273">
        <v>14.90878987806915</v>
      </c>
      <c r="P273" s="3">
        <v>49.578603455089024</v>
      </c>
      <c r="Q273" s="3">
        <v>3.6976327473970212</v>
      </c>
    </row>
    <row r="274" spans="1:17" x14ac:dyDescent="0.3">
      <c r="A274" s="18">
        <v>15065</v>
      </c>
      <c r="B274" s="15" t="s">
        <v>160</v>
      </c>
      <c r="C274" s="15" t="s">
        <v>158</v>
      </c>
      <c r="D274" s="24">
        <v>1</v>
      </c>
      <c r="E274" s="1" t="s">
        <v>162</v>
      </c>
      <c r="F274">
        <v>0.25223382113296439</v>
      </c>
      <c r="G274">
        <v>6.3801831083763396</v>
      </c>
      <c r="H274">
        <v>4.900958601818342</v>
      </c>
      <c r="I274">
        <v>22.656657457184231</v>
      </c>
      <c r="J274">
        <v>4.150751101438506E-2</v>
      </c>
      <c r="K274">
        <v>7.1040768942703769</v>
      </c>
      <c r="L274">
        <v>0.88703637388092416</v>
      </c>
      <c r="M274">
        <v>0.36262992716578174</v>
      </c>
      <c r="N274">
        <v>0.201360080071049</v>
      </c>
      <c r="O274">
        <v>14.90878987806915</v>
      </c>
      <c r="P274" s="3">
        <v>49.578603455089024</v>
      </c>
      <c r="Q274" s="3">
        <v>3.6976327473970212</v>
      </c>
    </row>
    <row r="275" spans="1:17" x14ac:dyDescent="0.3">
      <c r="A275" s="18">
        <v>15065</v>
      </c>
      <c r="B275" s="15" t="s">
        <v>160</v>
      </c>
      <c r="C275" s="15" t="s">
        <v>158</v>
      </c>
      <c r="D275" s="24">
        <v>1</v>
      </c>
      <c r="E275" s="1" t="s">
        <v>162</v>
      </c>
      <c r="F275">
        <v>0.20030332854676583</v>
      </c>
      <c r="G275">
        <v>5.7409587137753073</v>
      </c>
      <c r="H275">
        <v>3.2020301880130635</v>
      </c>
      <c r="I275">
        <v>22.296731188522546</v>
      </c>
      <c r="J275">
        <v>6.7242167843303793E-2</v>
      </c>
      <c r="K275">
        <v>6.6681124168553945</v>
      </c>
      <c r="L275">
        <v>1.7141378576347588</v>
      </c>
      <c r="M275">
        <v>0.36947200126324931</v>
      </c>
      <c r="N275">
        <v>0.23775978685312321</v>
      </c>
      <c r="O275">
        <v>18.476638967763488</v>
      </c>
      <c r="P275" s="3">
        <v>41.654251581577412</v>
      </c>
      <c r="Q275" s="3">
        <v>5.6494325797064748</v>
      </c>
    </row>
    <row r="276" spans="1:17" x14ac:dyDescent="0.3">
      <c r="A276" s="18">
        <v>15076</v>
      </c>
      <c r="B276" s="15" t="s">
        <v>160</v>
      </c>
      <c r="C276" s="15" t="s">
        <v>158</v>
      </c>
      <c r="D276" s="24">
        <v>1</v>
      </c>
      <c r="E276" s="1" t="s">
        <v>162</v>
      </c>
      <c r="F276">
        <v>0.21514061214282254</v>
      </c>
      <c r="G276">
        <v>4.7037266772528774</v>
      </c>
      <c r="H276">
        <v>5.0967852414158354</v>
      </c>
      <c r="I276">
        <v>22.465008405039697</v>
      </c>
      <c r="J276">
        <v>4.150751101438506E-2</v>
      </c>
      <c r="K276">
        <v>7.6758335859621587</v>
      </c>
      <c r="L276">
        <v>1.2046912915544983</v>
      </c>
      <c r="M276">
        <v>0.21210429702149497</v>
      </c>
      <c r="N276">
        <v>0.2245939354638623</v>
      </c>
      <c r="O276">
        <v>15.717191414731918</v>
      </c>
      <c r="P276" s="3">
        <v>40.745360561008013</v>
      </c>
      <c r="Q276" s="3">
        <v>2.1138710421835243</v>
      </c>
    </row>
    <row r="277" spans="1:17" x14ac:dyDescent="0.3">
      <c r="A277" s="18">
        <v>15076</v>
      </c>
      <c r="B277" s="15" t="s">
        <v>160</v>
      </c>
      <c r="C277" s="15" t="s">
        <v>158</v>
      </c>
      <c r="D277" s="24">
        <v>1</v>
      </c>
      <c r="E277" s="1" t="s">
        <v>162</v>
      </c>
      <c r="F277">
        <v>0.29674567192113455</v>
      </c>
      <c r="G277">
        <v>5.6866849444223897</v>
      </c>
      <c r="H277">
        <v>4.3981604731220765</v>
      </c>
      <c r="I277">
        <v>22.820260306575904</v>
      </c>
      <c r="J277">
        <v>6.6412017623016087E-2</v>
      </c>
      <c r="K277">
        <v>7.3613674055316798</v>
      </c>
      <c r="L277">
        <v>1.0968084893257373</v>
      </c>
      <c r="M277">
        <v>0.21210429702149497</v>
      </c>
      <c r="N277">
        <v>0.2245939354638623</v>
      </c>
      <c r="O277">
        <v>15.89597252380157</v>
      </c>
      <c r="P277" s="3">
        <v>45.114626053365498</v>
      </c>
      <c r="Q277" s="3">
        <v>2.44145055388134</v>
      </c>
    </row>
    <row r="278" spans="1:17" x14ac:dyDescent="0.3">
      <c r="A278" s="18">
        <v>15076</v>
      </c>
      <c r="B278" s="15" t="s">
        <v>160</v>
      </c>
      <c r="C278" s="15" t="s">
        <v>158</v>
      </c>
      <c r="D278" s="24">
        <v>1</v>
      </c>
      <c r="E278" s="1" t="s">
        <v>162</v>
      </c>
      <c r="F278">
        <v>0.29674567192113455</v>
      </c>
      <c r="G278">
        <v>5.6866849444223897</v>
      </c>
      <c r="H278">
        <v>4.3981604731220765</v>
      </c>
      <c r="I278">
        <v>22.820260306575904</v>
      </c>
      <c r="J278">
        <v>6.6412017623016087E-2</v>
      </c>
      <c r="K278">
        <v>7.3613674055316798</v>
      </c>
      <c r="L278">
        <v>1.0968084893257373</v>
      </c>
      <c r="M278">
        <v>0.21210429702149497</v>
      </c>
      <c r="N278">
        <v>0.2245939354638623</v>
      </c>
      <c r="O278">
        <v>15.89597252380157</v>
      </c>
      <c r="P278" s="3">
        <v>45.114626053365498</v>
      </c>
      <c r="Q278" s="3">
        <v>2.44145055388134</v>
      </c>
    </row>
    <row r="279" spans="1:17" x14ac:dyDescent="0.3">
      <c r="A279" s="18">
        <v>15085</v>
      </c>
      <c r="B279" s="15" t="s">
        <v>160</v>
      </c>
      <c r="C279" s="15" t="s">
        <v>158</v>
      </c>
      <c r="D279" s="24">
        <v>1</v>
      </c>
      <c r="E279" s="1" t="s">
        <v>162</v>
      </c>
      <c r="F279">
        <v>0.24481517933493602</v>
      </c>
      <c r="G279">
        <v>5.330890234219928</v>
      </c>
      <c r="H279">
        <v>5.2502709859652219</v>
      </c>
      <c r="I279">
        <v>22.310754289898973</v>
      </c>
      <c r="J279">
        <v>2.9055257710069542E-2</v>
      </c>
      <c r="K279">
        <v>7.597217040854539</v>
      </c>
      <c r="L279">
        <v>1.1747238464909535</v>
      </c>
      <c r="M279">
        <v>0.3564720604780609</v>
      </c>
      <c r="N279">
        <v>0.20058561822462187</v>
      </c>
      <c r="O279">
        <v>15.305217554701855</v>
      </c>
      <c r="P279" s="3">
        <v>44.453479626380236</v>
      </c>
      <c r="Q279" s="3">
        <v>3.4033759707557669</v>
      </c>
    </row>
    <row r="280" spans="1:17" x14ac:dyDescent="0.3">
      <c r="A280" s="18">
        <v>15085</v>
      </c>
      <c r="B280" s="15" t="s">
        <v>160</v>
      </c>
      <c r="C280" s="15" t="s">
        <v>158</v>
      </c>
      <c r="D280" s="24">
        <v>1</v>
      </c>
      <c r="E280" s="1" t="s">
        <v>162</v>
      </c>
      <c r="F280">
        <v>0.24481517933493602</v>
      </c>
      <c r="G280">
        <v>5.330890234219928</v>
      </c>
      <c r="H280">
        <v>5.2502709859652219</v>
      </c>
      <c r="I280">
        <v>22.310754289898973</v>
      </c>
      <c r="J280">
        <v>2.9055257710069542E-2</v>
      </c>
      <c r="K280">
        <v>7.597217040854539</v>
      </c>
      <c r="L280">
        <v>1.1747238464909535</v>
      </c>
      <c r="M280">
        <v>0.3564720604780609</v>
      </c>
      <c r="N280">
        <v>0.20058561822462187</v>
      </c>
      <c r="O280">
        <v>15.305217554701855</v>
      </c>
      <c r="P280" s="3">
        <v>44.453479626380236</v>
      </c>
      <c r="Q280" s="3">
        <v>3.4033759707557669</v>
      </c>
    </row>
    <row r="281" spans="1:17" x14ac:dyDescent="0.3">
      <c r="A281" s="18">
        <v>15085</v>
      </c>
      <c r="B281" s="15" t="s">
        <v>160</v>
      </c>
      <c r="C281" s="15" t="s">
        <v>158</v>
      </c>
      <c r="D281" s="24">
        <v>1</v>
      </c>
      <c r="E281" s="1" t="s">
        <v>162</v>
      </c>
      <c r="F281">
        <v>0.19288468674873746</v>
      </c>
      <c r="G281">
        <v>4.7640308654227868</v>
      </c>
      <c r="H281">
        <v>3.7736322711625028</v>
      </c>
      <c r="I281">
        <v>21.787225171845616</v>
      </c>
      <c r="J281">
        <v>4.8978862996974362E-2</v>
      </c>
      <c r="K281">
        <v>6.9182559694705485</v>
      </c>
      <c r="L281">
        <v>1.576287610342453</v>
      </c>
      <c r="M281">
        <v>0.41941914217476262</v>
      </c>
      <c r="N281">
        <v>0.23001516838885208</v>
      </c>
      <c r="O281">
        <v>18.950797561382995</v>
      </c>
      <c r="P281" s="3">
        <v>36.613033466739004</v>
      </c>
      <c r="Q281" s="3">
        <v>5.4530608852344109</v>
      </c>
    </row>
    <row r="282" spans="1:17" x14ac:dyDescent="0.3">
      <c r="A282" s="18">
        <v>15085</v>
      </c>
      <c r="B282" s="15" t="s">
        <v>160</v>
      </c>
      <c r="C282" s="15" t="s">
        <v>158</v>
      </c>
      <c r="D282" s="24">
        <v>1</v>
      </c>
      <c r="E282" s="1" t="s">
        <v>162</v>
      </c>
      <c r="F282">
        <v>0.19288468674873746</v>
      </c>
      <c r="G282">
        <v>4.7640308654227868</v>
      </c>
      <c r="H282">
        <v>3.7736322711625028</v>
      </c>
      <c r="I282">
        <v>21.787225171845616</v>
      </c>
      <c r="J282">
        <v>4.8978862996974362E-2</v>
      </c>
      <c r="K282">
        <v>6.9182559694705485</v>
      </c>
      <c r="L282">
        <v>1.576287610342453</v>
      </c>
      <c r="M282">
        <v>0.41941914217476262</v>
      </c>
      <c r="N282">
        <v>0.23001516838885208</v>
      </c>
      <c r="O282">
        <v>18.950797561382995</v>
      </c>
      <c r="P282" s="3">
        <v>36.613033466739004</v>
      </c>
      <c r="Q282" s="3">
        <v>5.4530608852344109</v>
      </c>
    </row>
    <row r="283" spans="1:17" x14ac:dyDescent="0.3">
      <c r="A283" s="18">
        <v>15085</v>
      </c>
      <c r="B283" s="15" t="s">
        <v>160</v>
      </c>
      <c r="C283" s="15" t="s">
        <v>158</v>
      </c>
      <c r="D283" s="24">
        <v>1</v>
      </c>
      <c r="E283" s="1" t="s">
        <v>162</v>
      </c>
      <c r="F283">
        <v>0.15579147775859564</v>
      </c>
      <c r="G283">
        <v>4.9449434299325121</v>
      </c>
      <c r="H283">
        <v>3.0644222791067173</v>
      </c>
      <c r="I283">
        <v>21.684389095085134</v>
      </c>
      <c r="J283">
        <v>5.8110515420139085E-2</v>
      </c>
      <c r="K283">
        <v>6.518026285286302</v>
      </c>
      <c r="L283">
        <v>1.8400011269016465</v>
      </c>
      <c r="M283">
        <v>0.45841896453032788</v>
      </c>
      <c r="N283">
        <v>0.28655088317803123</v>
      </c>
      <c r="O283">
        <v>20.793020293970269</v>
      </c>
      <c r="P283" s="3">
        <v>35.334821449992461</v>
      </c>
      <c r="Q283" s="3">
        <v>7.2035954819027275</v>
      </c>
    </row>
    <row r="284" spans="1:17" x14ac:dyDescent="0.3">
      <c r="A284" s="18">
        <v>15105</v>
      </c>
      <c r="B284" s="15" t="s">
        <v>160</v>
      </c>
      <c r="C284" s="15" t="s">
        <v>158</v>
      </c>
      <c r="D284" s="24">
        <v>1</v>
      </c>
      <c r="E284" s="1" t="s">
        <v>162</v>
      </c>
      <c r="F284">
        <v>0.23739653753690765</v>
      </c>
      <c r="G284">
        <v>5.4273769352917824</v>
      </c>
      <c r="H284">
        <v>4.3399417424309288</v>
      </c>
      <c r="I284">
        <v>21.455345105936789</v>
      </c>
      <c r="J284">
        <v>2.4904506608631034E-2</v>
      </c>
      <c r="K284">
        <v>7.2898978190702062</v>
      </c>
      <c r="L284">
        <v>1.7800662367745574</v>
      </c>
      <c r="M284">
        <v>0.23947259341136529</v>
      </c>
      <c r="N284">
        <v>0.18587084314250674</v>
      </c>
      <c r="O284">
        <v>17.644918156004675</v>
      </c>
      <c r="P284" s="3">
        <v>41.408730392531062</v>
      </c>
      <c r="Q284" s="3">
        <v>2.7836550055162022</v>
      </c>
    </row>
    <row r="285" spans="1:17" x14ac:dyDescent="0.3">
      <c r="A285" s="18">
        <v>15116</v>
      </c>
      <c r="B285" s="15" t="s">
        <v>160</v>
      </c>
      <c r="C285" s="15" t="s">
        <v>158</v>
      </c>
      <c r="D285" s="24">
        <v>1</v>
      </c>
      <c r="E285" s="1" t="s">
        <v>162</v>
      </c>
      <c r="F285">
        <v>0.28190838832507781</v>
      </c>
      <c r="G285">
        <v>4.4022057364033342</v>
      </c>
      <c r="H285">
        <v>5.3984641186335942</v>
      </c>
      <c r="I285">
        <v>22.99788625734401</v>
      </c>
      <c r="J285">
        <v>1.6603004405754022E-2</v>
      </c>
      <c r="K285">
        <v>7.4328369919931516</v>
      </c>
      <c r="L285">
        <v>0.69524472547423777</v>
      </c>
      <c r="M285">
        <v>0.21894637111896256</v>
      </c>
      <c r="N285">
        <v>0.17038160621396453</v>
      </c>
      <c r="O285">
        <v>14.768874227492901</v>
      </c>
      <c r="P285" s="3">
        <v>40.648432706792207</v>
      </c>
      <c r="Q285" s="3">
        <v>2.0612296556710317</v>
      </c>
    </row>
    <row r="286" spans="1:17" x14ac:dyDescent="0.3">
      <c r="A286" s="18">
        <v>15117</v>
      </c>
      <c r="B286" s="15" t="s">
        <v>160</v>
      </c>
      <c r="C286" s="15" t="s">
        <v>158</v>
      </c>
      <c r="D286" s="24">
        <v>1</v>
      </c>
      <c r="E286" s="1" t="s">
        <v>162</v>
      </c>
      <c r="F286">
        <v>0.24481517933493602</v>
      </c>
      <c r="G286">
        <v>4.8363958912266769</v>
      </c>
      <c r="H286">
        <v>5.2343931503221821</v>
      </c>
      <c r="I286">
        <v>22.343474859777309</v>
      </c>
      <c r="J286">
        <v>5.8110515420139085E-2</v>
      </c>
      <c r="K286">
        <v>7.8473605934696931</v>
      </c>
      <c r="L286">
        <v>1.2526392036561698</v>
      </c>
      <c r="M286">
        <v>0.19157807472909225</v>
      </c>
      <c r="N286">
        <v>0.2245939354638623</v>
      </c>
      <c r="O286">
        <v>15.864880157006848</v>
      </c>
      <c r="P286" s="3">
        <v>41.19184652785637</v>
      </c>
      <c r="Q286" s="3">
        <v>1.863857271225414</v>
      </c>
    </row>
    <row r="287" spans="1:17" x14ac:dyDescent="0.3">
      <c r="A287" s="18">
        <v>15117</v>
      </c>
      <c r="B287" s="15" t="s">
        <v>160</v>
      </c>
      <c r="C287" s="15" t="s">
        <v>158</v>
      </c>
      <c r="D287" s="24">
        <v>1</v>
      </c>
      <c r="E287" s="1" t="s">
        <v>162</v>
      </c>
      <c r="F287">
        <v>0.24481517933493602</v>
      </c>
      <c r="G287">
        <v>4.8363958912266769</v>
      </c>
      <c r="H287">
        <v>5.2343931503221821</v>
      </c>
      <c r="I287">
        <v>22.343474859777309</v>
      </c>
      <c r="J287">
        <v>5.8110515420139085E-2</v>
      </c>
      <c r="K287">
        <v>7.8473605934696931</v>
      </c>
      <c r="L287">
        <v>1.2526392036561698</v>
      </c>
      <c r="M287">
        <v>0.19157807472909225</v>
      </c>
      <c r="N287">
        <v>0.2245939354638623</v>
      </c>
      <c r="O287">
        <v>15.864880157006848</v>
      </c>
      <c r="P287" s="3">
        <v>41.19184652785637</v>
      </c>
      <c r="Q287" s="3">
        <v>1.863857271225414</v>
      </c>
    </row>
    <row r="288" spans="1:17" x14ac:dyDescent="0.3">
      <c r="A288" s="18">
        <v>15118</v>
      </c>
      <c r="B288" s="15" t="s">
        <v>160</v>
      </c>
      <c r="C288" s="15" t="s">
        <v>158</v>
      </c>
      <c r="D288" s="24">
        <v>1</v>
      </c>
      <c r="E288" s="1" t="s">
        <v>162</v>
      </c>
      <c r="F288">
        <v>0.28932703012310618</v>
      </c>
      <c r="G288">
        <v>4.221293171893608</v>
      </c>
      <c r="H288">
        <v>5.1338335245829283</v>
      </c>
      <c r="I288">
        <v>22.764167901070188</v>
      </c>
      <c r="J288">
        <v>6.6412017623016087E-2</v>
      </c>
      <c r="K288">
        <v>7.0754890596857889</v>
      </c>
      <c r="L288">
        <v>1.2586326926688789</v>
      </c>
      <c r="M288">
        <v>0.17789392653415709</v>
      </c>
      <c r="N288">
        <v>0.2091046985353201</v>
      </c>
      <c r="O288">
        <v>16.401223484215802</v>
      </c>
      <c r="P288" s="3">
        <v>37.160989872036403</v>
      </c>
      <c r="Q288" s="3">
        <v>1.7663782104509966</v>
      </c>
    </row>
    <row r="289" spans="1:17" x14ac:dyDescent="0.3">
      <c r="A289" s="18">
        <v>15119</v>
      </c>
      <c r="B289" s="15" t="s">
        <v>160</v>
      </c>
      <c r="C289" s="15" t="s">
        <v>158</v>
      </c>
      <c r="D289" s="24">
        <v>1</v>
      </c>
      <c r="E289" s="1" t="s">
        <v>162</v>
      </c>
      <c r="F289">
        <v>0.22255925394085091</v>
      </c>
      <c r="G289">
        <v>5.3851640035728456</v>
      </c>
      <c r="H289">
        <v>4.8903733780563154</v>
      </c>
      <c r="I289">
        <v>21.142162508529868</v>
      </c>
      <c r="J289">
        <v>4.150751101438506E-2</v>
      </c>
      <c r="K289">
        <v>7.5400413716853611</v>
      </c>
      <c r="L289">
        <v>1.5822810993551621</v>
      </c>
      <c r="M289">
        <v>0.32157748258097624</v>
      </c>
      <c r="N289">
        <v>0.24008317239240456</v>
      </c>
      <c r="O289">
        <v>17.295129029564055</v>
      </c>
      <c r="P289" s="3">
        <v>41.705390671078746</v>
      </c>
      <c r="Q289" s="3">
        <v>3.2997086697023614</v>
      </c>
    </row>
    <row r="290" spans="1:17" x14ac:dyDescent="0.3">
      <c r="A290" s="18">
        <v>15125</v>
      </c>
      <c r="B290" s="15" t="s">
        <v>160</v>
      </c>
      <c r="C290" s="15" t="s">
        <v>158</v>
      </c>
      <c r="D290" s="24">
        <v>1</v>
      </c>
      <c r="E290" s="1" t="s">
        <v>162</v>
      </c>
      <c r="F290">
        <v>0.24481517933493602</v>
      </c>
      <c r="G290">
        <v>5.6685936879714172</v>
      </c>
      <c r="H290">
        <v>4.3928678612410632</v>
      </c>
      <c r="I290">
        <v>22.203243846013017</v>
      </c>
      <c r="J290">
        <v>4.150751101438506E-2</v>
      </c>
      <c r="K290">
        <v>6.6466715409169534</v>
      </c>
      <c r="L290">
        <v>1.360522005884931</v>
      </c>
      <c r="M290">
        <v>0.36947200126324931</v>
      </c>
      <c r="N290">
        <v>0.2091046985353201</v>
      </c>
      <c r="O290">
        <v>17.33399448805746</v>
      </c>
      <c r="P290" s="3">
        <v>42.902490850719211</v>
      </c>
      <c r="Q290" s="3">
        <v>4.1820061747833925</v>
      </c>
    </row>
    <row r="291" spans="1:17" x14ac:dyDescent="0.3">
      <c r="A291" s="18">
        <v>15256</v>
      </c>
      <c r="B291" s="15" t="s">
        <v>160</v>
      </c>
      <c r="C291" s="15" t="s">
        <v>158</v>
      </c>
      <c r="D291" s="24">
        <v>1</v>
      </c>
      <c r="E291" s="1" t="s">
        <v>162</v>
      </c>
      <c r="F291">
        <v>0.22255925394085091</v>
      </c>
      <c r="G291">
        <v>5.6987457820563705</v>
      </c>
      <c r="H291">
        <v>4.8692029305322615</v>
      </c>
      <c r="I291">
        <v>21.184231812659156</v>
      </c>
      <c r="J291">
        <v>9.9618026434524137E-2</v>
      </c>
      <c r="K291">
        <v>7.2684569431317643</v>
      </c>
      <c r="L291">
        <v>1.5223462092280726</v>
      </c>
      <c r="M291">
        <v>0.21210429702149497</v>
      </c>
      <c r="N291">
        <v>0.27106164624948897</v>
      </c>
      <c r="O291">
        <v>17.497229413729748</v>
      </c>
      <c r="P291" s="3">
        <v>42.802870846964815</v>
      </c>
      <c r="Q291" s="3">
        <v>2.2104875639054806</v>
      </c>
    </row>
    <row r="292" spans="1:17" x14ac:dyDescent="0.3">
      <c r="A292" s="18">
        <v>15271</v>
      </c>
      <c r="B292" s="15" t="s">
        <v>160</v>
      </c>
      <c r="C292" s="15" t="s">
        <v>158</v>
      </c>
      <c r="D292" s="24">
        <v>1</v>
      </c>
      <c r="E292" s="1" t="s">
        <v>162</v>
      </c>
      <c r="F292">
        <v>0.39318801529550329</v>
      </c>
      <c r="G292">
        <v>6.3198789202064312</v>
      </c>
      <c r="H292">
        <v>8.5687386353605799</v>
      </c>
      <c r="I292">
        <v>21.843317577351332</v>
      </c>
      <c r="J292">
        <v>0.15772854185466323</v>
      </c>
      <c r="K292">
        <v>8.0260345596233744</v>
      </c>
      <c r="L292">
        <v>0.85107543980467038</v>
      </c>
      <c r="M292">
        <v>0.39684029765311962</v>
      </c>
      <c r="N292">
        <v>0.13165851389260896</v>
      </c>
      <c r="O292">
        <v>9.4753987806914974</v>
      </c>
      <c r="P292" s="3">
        <v>60.513296374704993</v>
      </c>
      <c r="Q292" s="3">
        <v>2.3468710974817757</v>
      </c>
    </row>
    <row r="293" spans="1:17" x14ac:dyDescent="0.3">
      <c r="A293" s="18">
        <v>15379</v>
      </c>
      <c r="B293" s="15" t="s">
        <v>160</v>
      </c>
      <c r="C293" s="15" t="s">
        <v>158</v>
      </c>
      <c r="D293" s="24">
        <v>1</v>
      </c>
      <c r="E293" s="1" t="s">
        <v>162</v>
      </c>
      <c r="F293">
        <v>0.20030332854676583</v>
      </c>
      <c r="G293">
        <v>6.482700228265184</v>
      </c>
      <c r="H293">
        <v>4.3769900255980225</v>
      </c>
      <c r="I293">
        <v>20.847677379624855</v>
      </c>
      <c r="J293">
        <v>4.9809013217262069E-2</v>
      </c>
      <c r="K293">
        <v>6.8253455070706348</v>
      </c>
      <c r="L293">
        <v>1.5043657421899455</v>
      </c>
      <c r="M293">
        <v>0.43789274223792513</v>
      </c>
      <c r="N293">
        <v>0.2245939354638623</v>
      </c>
      <c r="O293">
        <v>17.815926173375647</v>
      </c>
      <c r="P293" s="3">
        <v>45.535478091301101</v>
      </c>
      <c r="Q293" s="3">
        <v>4.9353228809831151</v>
      </c>
    </row>
    <row r="294" spans="1:17" x14ac:dyDescent="0.3">
      <c r="A294" s="18">
        <v>15379</v>
      </c>
      <c r="B294" s="15" t="s">
        <v>160</v>
      </c>
      <c r="C294" s="15" t="s">
        <v>158</v>
      </c>
      <c r="D294" s="24">
        <v>1</v>
      </c>
      <c r="E294" s="1" t="s">
        <v>162</v>
      </c>
      <c r="F294">
        <v>0.20030332854676583</v>
      </c>
      <c r="G294">
        <v>6.482700228265184</v>
      </c>
      <c r="H294">
        <v>4.3769900255980225</v>
      </c>
      <c r="I294">
        <v>20.847677379624855</v>
      </c>
      <c r="J294">
        <v>4.9809013217262069E-2</v>
      </c>
      <c r="K294">
        <v>6.8253455070706348</v>
      </c>
      <c r="L294">
        <v>1.5043657421899455</v>
      </c>
      <c r="M294">
        <v>0.43789274223792513</v>
      </c>
      <c r="N294">
        <v>0.2245939354638623</v>
      </c>
      <c r="O294">
        <v>17.815926173375647</v>
      </c>
      <c r="P294" s="3">
        <v>45.535478091301101</v>
      </c>
      <c r="Q294" s="3">
        <v>4.9353228809831151</v>
      </c>
    </row>
    <row r="295" spans="1:17" x14ac:dyDescent="0.3">
      <c r="A295" s="18">
        <v>15382</v>
      </c>
      <c r="B295" s="15" t="s">
        <v>160</v>
      </c>
      <c r="C295" s="15" t="s">
        <v>158</v>
      </c>
      <c r="D295" s="24">
        <v>1</v>
      </c>
      <c r="E295" s="1" t="s">
        <v>162</v>
      </c>
      <c r="F295">
        <v>0.71218961261072289</v>
      </c>
      <c r="G295">
        <v>4.2815973600635164</v>
      </c>
      <c r="H295">
        <v>9.4208491482037253</v>
      </c>
      <c r="I295">
        <v>24.493683737496465</v>
      </c>
      <c r="J295">
        <v>0.47318562556398963</v>
      </c>
      <c r="K295">
        <v>7.0754890596857889</v>
      </c>
      <c r="L295">
        <v>1.0668410442621925</v>
      </c>
      <c r="M295">
        <v>0.14368355604681918</v>
      </c>
      <c r="N295">
        <v>7.7446184642711149E-2</v>
      </c>
      <c r="O295">
        <v>6.6848588608652078</v>
      </c>
      <c r="P295" s="3">
        <v>59.541070527279579</v>
      </c>
      <c r="Q295" s="3">
        <v>0.78523119717197187</v>
      </c>
    </row>
    <row r="296" spans="1:17" x14ac:dyDescent="0.3">
      <c r="A296" s="18">
        <v>15382</v>
      </c>
      <c r="B296" s="15" t="s">
        <v>160</v>
      </c>
      <c r="C296" s="15" t="s">
        <v>158</v>
      </c>
      <c r="D296" s="24">
        <v>1</v>
      </c>
      <c r="E296" s="1" t="s">
        <v>162</v>
      </c>
      <c r="F296">
        <v>0.60090998564029752</v>
      </c>
      <c r="G296">
        <v>5.9098104406510519</v>
      </c>
      <c r="H296">
        <v>8.6798834848618576</v>
      </c>
      <c r="I296">
        <v>22.857655243579718</v>
      </c>
      <c r="J296">
        <v>0.43997961675248165</v>
      </c>
      <c r="K296">
        <v>7.4328369919931516</v>
      </c>
      <c r="L296">
        <v>1.3185675827959684</v>
      </c>
      <c r="M296">
        <v>0.21210429702149497</v>
      </c>
      <c r="N296">
        <v>0.10842465849979561</v>
      </c>
      <c r="O296">
        <v>7.7730916986804743</v>
      </c>
      <c r="P296" s="3">
        <v>63.595346158543066</v>
      </c>
      <c r="Q296" s="3">
        <v>1.2521815040356647</v>
      </c>
    </row>
    <row r="297" spans="1:17" x14ac:dyDescent="0.3">
      <c r="A297" s="18">
        <v>15386</v>
      </c>
      <c r="B297" s="15" t="s">
        <v>160</v>
      </c>
      <c r="C297" s="15" t="s">
        <v>158</v>
      </c>
      <c r="D297" s="24">
        <v>1</v>
      </c>
      <c r="E297" s="1" t="s">
        <v>162</v>
      </c>
      <c r="F297">
        <v>0.54156085125607056</v>
      </c>
      <c r="G297">
        <v>4.9268521734815396</v>
      </c>
      <c r="H297">
        <v>7.8171877482566856</v>
      </c>
      <c r="I297">
        <v>23.759808098796665</v>
      </c>
      <c r="J297">
        <v>0.55620064759275978</v>
      </c>
      <c r="K297">
        <v>6.9396968454089913</v>
      </c>
      <c r="L297">
        <v>1.3365480498340951</v>
      </c>
      <c r="M297">
        <v>0.21210429702149497</v>
      </c>
      <c r="N297">
        <v>0.12391389542833783</v>
      </c>
      <c r="O297">
        <v>8.2006117421079008</v>
      </c>
      <c r="P297" s="3">
        <v>57.990646418158605</v>
      </c>
      <c r="Q297" s="3">
        <v>1.3884521044861156</v>
      </c>
    </row>
    <row r="298" spans="1:17" x14ac:dyDescent="0.3">
      <c r="A298" s="18">
        <v>15386</v>
      </c>
      <c r="B298" s="15" t="s">
        <v>160</v>
      </c>
      <c r="C298" s="15" t="s">
        <v>158</v>
      </c>
      <c r="D298" s="24">
        <v>1</v>
      </c>
      <c r="E298" s="1" t="s">
        <v>162</v>
      </c>
      <c r="F298">
        <v>0.54156085125607056</v>
      </c>
      <c r="G298">
        <v>4.9268521734815396</v>
      </c>
      <c r="H298">
        <v>9.4049713125606846</v>
      </c>
      <c r="I298">
        <v>23.759808098796665</v>
      </c>
      <c r="J298">
        <v>0.55620064759275978</v>
      </c>
      <c r="K298">
        <v>6.9396968454089913</v>
      </c>
      <c r="L298">
        <v>1.3365480498340951</v>
      </c>
      <c r="M298">
        <v>0.23947259341136529</v>
      </c>
      <c r="N298">
        <v>0.12391389542833783</v>
      </c>
      <c r="O298">
        <v>8.2006117421079008</v>
      </c>
      <c r="P298" s="3">
        <v>57.990646418158605</v>
      </c>
      <c r="Q298" s="3">
        <v>1.3040726220491252</v>
      </c>
    </row>
    <row r="299" spans="1:17" x14ac:dyDescent="0.3">
      <c r="A299" s="18">
        <v>15387</v>
      </c>
      <c r="B299" s="15" t="s">
        <v>160</v>
      </c>
      <c r="C299" s="15" t="s">
        <v>158</v>
      </c>
      <c r="D299" s="24">
        <v>1</v>
      </c>
      <c r="E299" s="1" t="s">
        <v>162</v>
      </c>
      <c r="F299">
        <v>0.2077219703447942</v>
      </c>
      <c r="G299">
        <v>10.915058058753473</v>
      </c>
      <c r="H299">
        <v>4.0753111483802629</v>
      </c>
      <c r="I299">
        <v>19.538854584491453</v>
      </c>
      <c r="J299">
        <v>8.3015022028770109E-3</v>
      </c>
      <c r="K299">
        <v>5.0028710523030826</v>
      </c>
      <c r="L299">
        <v>0.8630624178300883</v>
      </c>
      <c r="M299">
        <v>0.36947200126324931</v>
      </c>
      <c r="N299">
        <v>0.21684931699959123</v>
      </c>
      <c r="O299">
        <v>18.577689159846333</v>
      </c>
      <c r="P299" s="3">
        <v>57.446203949211053</v>
      </c>
      <c r="Q299" s="3">
        <v>4.4932346545819337</v>
      </c>
    </row>
    <row r="300" spans="1:17" x14ac:dyDescent="0.3">
      <c r="A300" s="18">
        <v>15434</v>
      </c>
      <c r="B300" s="15" t="s">
        <v>160</v>
      </c>
      <c r="C300" s="15" t="s">
        <v>158</v>
      </c>
      <c r="D300" s="24">
        <v>1</v>
      </c>
      <c r="E300" s="1" t="s">
        <v>162</v>
      </c>
      <c r="F300">
        <v>0.4154439406895884</v>
      </c>
      <c r="G300">
        <v>2.8342968439857086</v>
      </c>
      <c r="H300">
        <v>3.3872716038485304</v>
      </c>
      <c r="I300">
        <v>26.597148943960857</v>
      </c>
      <c r="J300">
        <v>1.8014259780243114</v>
      </c>
      <c r="K300">
        <v>5.9319756763022271</v>
      </c>
      <c r="L300">
        <v>0.67726425843611093</v>
      </c>
      <c r="M300">
        <v>0.11631525965694886</v>
      </c>
      <c r="N300">
        <v>0.21684931699959123</v>
      </c>
      <c r="O300">
        <v>13.836103223651245</v>
      </c>
      <c r="P300" s="3">
        <v>32.003965583587181</v>
      </c>
      <c r="Q300" s="3">
        <v>1.7507340972463599</v>
      </c>
    </row>
    <row r="301" spans="1:17" x14ac:dyDescent="0.3">
      <c r="A301" s="18">
        <v>15434</v>
      </c>
      <c r="B301" s="15" t="s">
        <v>160</v>
      </c>
      <c r="C301" s="15" t="s">
        <v>158</v>
      </c>
      <c r="D301" s="24">
        <v>1</v>
      </c>
      <c r="E301" s="1" t="s">
        <v>162</v>
      </c>
      <c r="F301">
        <v>0.4154439406895884</v>
      </c>
      <c r="G301">
        <v>2.8342968439857086</v>
      </c>
      <c r="H301">
        <v>3.3872716038485304</v>
      </c>
      <c r="I301">
        <v>26.597148943960857</v>
      </c>
      <c r="J301">
        <v>1.8014259780243114</v>
      </c>
      <c r="K301">
        <v>5.9319756763022271</v>
      </c>
      <c r="L301">
        <v>0.67726425843611093</v>
      </c>
      <c r="M301">
        <v>0.11631525965694886</v>
      </c>
      <c r="N301">
        <v>0.21684931699959123</v>
      </c>
      <c r="O301">
        <v>13.836103223651245</v>
      </c>
      <c r="P301" s="3">
        <v>32.003965583587181</v>
      </c>
      <c r="Q301" s="3">
        <v>1.7507340972463599</v>
      </c>
    </row>
    <row r="302" spans="1:17" x14ac:dyDescent="0.3">
      <c r="A302" s="18">
        <v>15434</v>
      </c>
      <c r="B302" s="15" t="s">
        <v>160</v>
      </c>
      <c r="C302" s="15" t="s">
        <v>158</v>
      </c>
      <c r="D302" s="24">
        <v>1</v>
      </c>
      <c r="E302" s="1" t="s">
        <v>162</v>
      </c>
      <c r="F302">
        <v>0.48963035866987203</v>
      </c>
      <c r="G302">
        <v>3.316730349344978</v>
      </c>
      <c r="H302">
        <v>5.1867596433930618</v>
      </c>
      <c r="I302">
        <v>26.176455902667978</v>
      </c>
      <c r="J302">
        <v>0.59770815860714477</v>
      </c>
      <c r="K302">
        <v>7.5043065784546243</v>
      </c>
      <c r="L302">
        <v>0.66527728041069312</v>
      </c>
      <c r="M302">
        <v>0.18473600063162465</v>
      </c>
      <c r="N302">
        <v>0.2091046985353201</v>
      </c>
      <c r="O302">
        <v>11.426444797060297</v>
      </c>
      <c r="P302" s="3">
        <v>40.009890535826457</v>
      </c>
      <c r="Q302" s="3">
        <v>1.8147051254712796</v>
      </c>
    </row>
    <row r="303" spans="1:17" x14ac:dyDescent="0.3">
      <c r="A303" s="18">
        <v>15434</v>
      </c>
      <c r="B303" s="15" t="s">
        <v>160</v>
      </c>
      <c r="C303" s="15" t="s">
        <v>158</v>
      </c>
      <c r="D303" s="24">
        <v>1</v>
      </c>
      <c r="E303" s="1" t="s">
        <v>162</v>
      </c>
      <c r="F303">
        <v>0.48963035866987203</v>
      </c>
      <c r="G303">
        <v>3.316730349344978</v>
      </c>
      <c r="H303">
        <v>5.1867596433930618</v>
      </c>
      <c r="I303">
        <v>26.176455902667978</v>
      </c>
      <c r="J303">
        <v>0.59770815860714477</v>
      </c>
      <c r="K303">
        <v>7.5043065784546243</v>
      </c>
      <c r="L303">
        <v>0.66527728041069312</v>
      </c>
      <c r="M303">
        <v>0.18473600063162465</v>
      </c>
      <c r="N303">
        <v>0.2091046985353201</v>
      </c>
      <c r="O303">
        <v>11.426444797060297</v>
      </c>
      <c r="P303" s="3">
        <v>40.009890535826457</v>
      </c>
      <c r="Q303" s="3">
        <v>1.8147051254712796</v>
      </c>
    </row>
    <row r="304" spans="1:17" x14ac:dyDescent="0.3">
      <c r="A304" s="18">
        <v>15434</v>
      </c>
      <c r="B304" s="15" t="s">
        <v>160</v>
      </c>
      <c r="C304" s="15" t="s">
        <v>158</v>
      </c>
      <c r="D304" s="24">
        <v>1</v>
      </c>
      <c r="E304" s="1" t="s">
        <v>162</v>
      </c>
      <c r="F304">
        <v>0.43028122428564508</v>
      </c>
      <c r="G304">
        <v>3.7991638547042474</v>
      </c>
      <c r="H304">
        <v>8.9974401977226588</v>
      </c>
      <c r="I304">
        <v>24.353452723732172</v>
      </c>
      <c r="J304">
        <v>0.60600966081002183</v>
      </c>
      <c r="K304">
        <v>7.3613674055316798</v>
      </c>
      <c r="L304">
        <v>1.3785024729230577</v>
      </c>
      <c r="M304">
        <v>0.20526222292402738</v>
      </c>
      <c r="N304">
        <v>0.17812622467823563</v>
      </c>
      <c r="O304">
        <v>8.6281317855353254</v>
      </c>
      <c r="P304" s="3">
        <v>50.291269385180932</v>
      </c>
      <c r="Q304" s="3">
        <v>1.1699925332809462</v>
      </c>
    </row>
    <row r="305" spans="1:17" x14ac:dyDescent="0.3">
      <c r="A305" s="18">
        <v>15434</v>
      </c>
      <c r="B305" s="15" t="s">
        <v>160</v>
      </c>
      <c r="C305" s="15" t="s">
        <v>158</v>
      </c>
      <c r="D305" s="24">
        <v>1</v>
      </c>
      <c r="E305" s="1" t="s">
        <v>162</v>
      </c>
      <c r="F305">
        <v>0.59349134384226909</v>
      </c>
      <c r="G305">
        <v>5.5479853116315994</v>
      </c>
      <c r="H305">
        <v>8.6798834848618576</v>
      </c>
      <c r="I305">
        <v>24.119734367458353</v>
      </c>
      <c r="J305">
        <v>0.45658262115823567</v>
      </c>
      <c r="K305">
        <v>7.0040194732243162</v>
      </c>
      <c r="L305">
        <v>1.1507498904401177</v>
      </c>
      <c r="M305">
        <v>0.21210429702149497</v>
      </c>
      <c r="N305">
        <v>0.10842465849979561</v>
      </c>
      <c r="O305">
        <v>7.7730916986804743</v>
      </c>
      <c r="P305" s="3">
        <v>62.120471636970052</v>
      </c>
      <c r="Q305" s="3">
        <v>1.2521815040356647</v>
      </c>
    </row>
    <row r="306" spans="1:17" x14ac:dyDescent="0.3">
      <c r="A306" s="18">
        <v>15434</v>
      </c>
      <c r="B306" s="15" t="s">
        <v>160</v>
      </c>
      <c r="C306" s="15" t="s">
        <v>158</v>
      </c>
      <c r="D306" s="24">
        <v>1</v>
      </c>
      <c r="E306" s="1" t="s">
        <v>162</v>
      </c>
      <c r="F306">
        <v>0.59349134384226909</v>
      </c>
      <c r="G306">
        <v>5.5479853116315994</v>
      </c>
      <c r="H306">
        <v>8.6798834848618576</v>
      </c>
      <c r="I306">
        <v>24.119734367458353</v>
      </c>
      <c r="J306">
        <v>0.45658262115823567</v>
      </c>
      <c r="K306">
        <v>7.0040194732243162</v>
      </c>
      <c r="L306">
        <v>1.1507498904401177</v>
      </c>
      <c r="M306">
        <v>0.21210429702149497</v>
      </c>
      <c r="N306">
        <v>0.10842465849979561</v>
      </c>
      <c r="O306">
        <v>7.7730916986804743</v>
      </c>
      <c r="P306" s="3">
        <v>62.120471636970052</v>
      </c>
      <c r="Q306" s="3">
        <v>1.2521815040356647</v>
      </c>
    </row>
    <row r="307" spans="1:17" x14ac:dyDescent="0.3">
      <c r="A307" s="18">
        <v>15471</v>
      </c>
      <c r="B307" s="15" t="s">
        <v>160</v>
      </c>
      <c r="C307" s="15" t="s">
        <v>158</v>
      </c>
      <c r="D307" s="24">
        <v>1</v>
      </c>
      <c r="E307" s="1" t="s">
        <v>162</v>
      </c>
      <c r="F307">
        <v>0.26707110472902107</v>
      </c>
      <c r="G307">
        <v>6.0967534239777681</v>
      </c>
      <c r="H307">
        <v>8.1241592373554585</v>
      </c>
      <c r="I307">
        <v>21.604924853952035</v>
      </c>
      <c r="J307">
        <v>0.14942703965178619</v>
      </c>
      <c r="K307">
        <v>7.6972744619005997</v>
      </c>
      <c r="L307">
        <v>0.98892568709697615</v>
      </c>
      <c r="M307">
        <v>0.19157807472909225</v>
      </c>
      <c r="N307">
        <v>0.17812622467823563</v>
      </c>
      <c r="O307">
        <v>11.278756054785369</v>
      </c>
      <c r="P307" s="3">
        <v>55.397223093295487</v>
      </c>
      <c r="Q307" s="3">
        <v>1.2088973153370275</v>
      </c>
    </row>
    <row r="308" spans="1:17" x14ac:dyDescent="0.3">
      <c r="A308" s="18">
        <v>15471</v>
      </c>
      <c r="B308" s="15" t="s">
        <v>160</v>
      </c>
      <c r="C308" s="15" t="s">
        <v>158</v>
      </c>
      <c r="D308" s="24">
        <v>1</v>
      </c>
      <c r="E308" s="1" t="s">
        <v>162</v>
      </c>
      <c r="F308">
        <v>0.27448974652704944</v>
      </c>
      <c r="G308">
        <v>6.7239169809448196</v>
      </c>
      <c r="H308">
        <v>7.1079777562009001</v>
      </c>
      <c r="I308">
        <v>21.703086563587039</v>
      </c>
      <c r="J308">
        <v>0.14112553744890921</v>
      </c>
      <c r="K308">
        <v>7.5614822476238022</v>
      </c>
      <c r="L308">
        <v>0.96495173104614052</v>
      </c>
      <c r="M308">
        <v>0.23947259341136529</v>
      </c>
      <c r="N308">
        <v>0.201360080071049</v>
      </c>
      <c r="O308">
        <v>12.592408551862368</v>
      </c>
      <c r="P308" s="3">
        <v>55.094129555908886</v>
      </c>
      <c r="Q308" s="3">
        <v>1.7182519000373739</v>
      </c>
    </row>
    <row r="309" spans="1:17" x14ac:dyDescent="0.3">
      <c r="A309" s="18">
        <v>15474</v>
      </c>
      <c r="B309" s="15" t="s">
        <v>160</v>
      </c>
      <c r="C309" s="15" t="s">
        <v>158</v>
      </c>
      <c r="D309" s="24">
        <v>1</v>
      </c>
      <c r="E309" s="1" t="s">
        <v>162</v>
      </c>
      <c r="F309">
        <v>0.27448974652704944</v>
      </c>
      <c r="G309">
        <v>5.3489814906709006</v>
      </c>
      <c r="H309">
        <v>5.2820266572513015</v>
      </c>
      <c r="I309">
        <v>21.282393522294161</v>
      </c>
      <c r="J309">
        <v>4.150751101438506E-2</v>
      </c>
      <c r="K309">
        <v>7.611510958146833</v>
      </c>
      <c r="L309">
        <v>1.468404808113692</v>
      </c>
      <c r="M309">
        <v>0.27368296389870322</v>
      </c>
      <c r="N309">
        <v>0.201360080071049</v>
      </c>
      <c r="O309">
        <v>16.751012610656424</v>
      </c>
      <c r="P309" s="3">
        <v>42.319904002601973</v>
      </c>
      <c r="Q309" s="3">
        <v>2.6183547461213985</v>
      </c>
    </row>
    <row r="310" spans="1:17" x14ac:dyDescent="0.3">
      <c r="A310" s="18">
        <v>15474</v>
      </c>
      <c r="B310" s="15" t="s">
        <v>160</v>
      </c>
      <c r="C310" s="15" t="s">
        <v>158</v>
      </c>
      <c r="D310" s="24">
        <v>1</v>
      </c>
      <c r="E310" s="1" t="s">
        <v>162</v>
      </c>
      <c r="F310">
        <v>7.418641798028364E-3</v>
      </c>
      <c r="G310">
        <v>5.7409587137753073</v>
      </c>
      <c r="H310">
        <v>4.4828422632182896</v>
      </c>
      <c r="I310">
        <v>21.689063462210608</v>
      </c>
      <c r="J310">
        <v>3.3206008811508043E-2</v>
      </c>
      <c r="K310">
        <v>6.8253455070706348</v>
      </c>
      <c r="L310">
        <v>1.4743982971264009</v>
      </c>
      <c r="M310">
        <v>0.40368237175058719</v>
      </c>
      <c r="N310">
        <v>0.24008317239240456</v>
      </c>
      <c r="O310">
        <v>17.178532654083849</v>
      </c>
      <c r="P310" s="3">
        <v>43.434716819478894</v>
      </c>
      <c r="Q310" s="3">
        <v>4.4643279749663334</v>
      </c>
    </row>
    <row r="311" spans="1:17" x14ac:dyDescent="0.3">
      <c r="A311" s="18">
        <v>15474</v>
      </c>
      <c r="B311" s="15" t="s">
        <v>160</v>
      </c>
      <c r="C311" s="15" t="s">
        <v>158</v>
      </c>
      <c r="D311" s="24">
        <v>1</v>
      </c>
      <c r="E311" s="1" t="s">
        <v>162</v>
      </c>
      <c r="F311">
        <v>0.25223382113296439</v>
      </c>
      <c r="G311">
        <v>5.5841678245335444</v>
      </c>
      <c r="H311">
        <v>5.0491517344867143</v>
      </c>
      <c r="I311">
        <v>20.838328645373899</v>
      </c>
      <c r="J311">
        <v>4.150751101438506E-2</v>
      </c>
      <c r="K311">
        <v>7.5543352889776552</v>
      </c>
      <c r="L311">
        <v>1.4983722531772368</v>
      </c>
      <c r="M311">
        <v>0.58157629828474422</v>
      </c>
      <c r="N311">
        <v>0.2091046985353201</v>
      </c>
      <c r="O311">
        <v>17.225171204275931</v>
      </c>
      <c r="P311" s="3">
        <v>42.689314882620778</v>
      </c>
      <c r="Q311" s="3">
        <v>5.6400160268959487</v>
      </c>
    </row>
    <row r="312" spans="1:17" x14ac:dyDescent="0.3">
      <c r="A312" s="18">
        <v>15475</v>
      </c>
      <c r="B312" s="15" t="s">
        <v>160</v>
      </c>
      <c r="C312" s="15" t="s">
        <v>158</v>
      </c>
      <c r="D312" s="24">
        <v>1</v>
      </c>
      <c r="E312" s="1" t="s">
        <v>162</v>
      </c>
      <c r="F312">
        <v>0.22997789573887928</v>
      </c>
      <c r="G312">
        <v>5.2585252084160379</v>
      </c>
      <c r="H312">
        <v>5.0756147938917815</v>
      </c>
      <c r="I312">
        <v>22.586541950302085</v>
      </c>
      <c r="J312">
        <v>4.150751101438506E-2</v>
      </c>
      <c r="K312">
        <v>7.6972744619005997</v>
      </c>
      <c r="L312">
        <v>1.0608475552494836</v>
      </c>
      <c r="M312">
        <v>0.41736651994552237</v>
      </c>
      <c r="N312">
        <v>0.23233855392813343</v>
      </c>
      <c r="O312">
        <v>15.180848087522968</v>
      </c>
      <c r="P312" s="3">
        <v>44.317503866677306</v>
      </c>
      <c r="Q312" s="3">
        <v>4.0924732383316353</v>
      </c>
    </row>
    <row r="313" spans="1:17" x14ac:dyDescent="0.3">
      <c r="A313" s="18">
        <v>15475</v>
      </c>
      <c r="B313" s="15" t="s">
        <v>160</v>
      </c>
      <c r="C313" s="15" t="s">
        <v>158</v>
      </c>
      <c r="D313" s="24">
        <v>1</v>
      </c>
      <c r="E313" s="1" t="s">
        <v>162</v>
      </c>
      <c r="F313">
        <v>0.20030332854676583</v>
      </c>
      <c r="G313">
        <v>5.7530195514092881</v>
      </c>
      <c r="H313">
        <v>4.8850807661753022</v>
      </c>
      <c r="I313">
        <v>22.586541950302085</v>
      </c>
      <c r="J313">
        <v>4.150751101438506E-2</v>
      </c>
      <c r="K313">
        <v>7.3828082814701208</v>
      </c>
      <c r="L313">
        <v>0.94097777499530466</v>
      </c>
      <c r="M313">
        <v>0.45157689043286031</v>
      </c>
      <c r="N313">
        <v>0.24008317239240456</v>
      </c>
      <c r="O313">
        <v>15.678325956238519</v>
      </c>
      <c r="P313" s="3">
        <v>45.743912275709974</v>
      </c>
      <c r="Q313" s="3">
        <v>4.577365237419925</v>
      </c>
    </row>
    <row r="314" spans="1:17" x14ac:dyDescent="0.3">
      <c r="A314" s="18">
        <v>15476</v>
      </c>
      <c r="B314" s="15" t="s">
        <v>160</v>
      </c>
      <c r="C314" s="15" t="s">
        <v>158</v>
      </c>
      <c r="D314" s="24">
        <v>1</v>
      </c>
      <c r="E314" s="1" t="s">
        <v>162</v>
      </c>
      <c r="F314">
        <v>0.2077219703447942</v>
      </c>
      <c r="G314">
        <v>5.2404339519650645</v>
      </c>
      <c r="H314">
        <v>5.0491517344867143</v>
      </c>
      <c r="I314">
        <v>22.651983090058753</v>
      </c>
      <c r="J314">
        <v>5.8110515420139085E-2</v>
      </c>
      <c r="K314">
        <v>7.5043065784546243</v>
      </c>
      <c r="L314">
        <v>1.0488605772240658</v>
      </c>
      <c r="M314">
        <v>0.29420918619110592</v>
      </c>
      <c r="N314">
        <v>0.21684931699959123</v>
      </c>
      <c r="O314">
        <v>16.136938366460665</v>
      </c>
      <c r="P314" s="3">
        <v>42.731638124579312</v>
      </c>
      <c r="Q314" s="3">
        <v>2.9349774529805766</v>
      </c>
    </row>
    <row r="315" spans="1:17" x14ac:dyDescent="0.3">
      <c r="A315" s="18">
        <v>15476</v>
      </c>
      <c r="B315" s="15" t="s">
        <v>160</v>
      </c>
      <c r="C315" s="15" t="s">
        <v>158</v>
      </c>
      <c r="D315" s="24">
        <v>1</v>
      </c>
      <c r="E315" s="1" t="s">
        <v>162</v>
      </c>
      <c r="F315">
        <v>0.2596524629309927</v>
      </c>
      <c r="G315">
        <v>5.0353997121873757</v>
      </c>
      <c r="H315">
        <v>5.3031971047753546</v>
      </c>
      <c r="I315">
        <v>22.362172328279218</v>
      </c>
      <c r="J315">
        <v>3.5696459472371149E-2</v>
      </c>
      <c r="K315">
        <v>7.6758335859621587</v>
      </c>
      <c r="L315">
        <v>1.0908150003130284</v>
      </c>
      <c r="M315">
        <v>0.319524860351736</v>
      </c>
      <c r="N315">
        <v>0.2021345419174761</v>
      </c>
      <c r="O315">
        <v>15.382948471688659</v>
      </c>
      <c r="P315" s="3">
        <v>42.926052180846106</v>
      </c>
      <c r="Q315" s="3">
        <v>3.0317991404066031</v>
      </c>
    </row>
    <row r="316" spans="1:17" x14ac:dyDescent="0.3">
      <c r="A316" s="18">
        <v>15476</v>
      </c>
      <c r="B316" s="15" t="s">
        <v>160</v>
      </c>
      <c r="C316" s="15" t="s">
        <v>158</v>
      </c>
      <c r="D316" s="24">
        <v>1</v>
      </c>
      <c r="E316" s="1" t="s">
        <v>162</v>
      </c>
      <c r="F316">
        <v>0.2596524629309927</v>
      </c>
      <c r="G316">
        <v>5.0353997121873757</v>
      </c>
      <c r="H316">
        <v>5.3031971047753546</v>
      </c>
      <c r="I316">
        <v>22.362172328279218</v>
      </c>
      <c r="J316">
        <v>3.5696459472371149E-2</v>
      </c>
      <c r="K316">
        <v>7.6758335859621587</v>
      </c>
      <c r="L316">
        <v>1.0908150003130284</v>
      </c>
      <c r="M316">
        <v>0.319524860351736</v>
      </c>
      <c r="N316">
        <v>0.2021345419174761</v>
      </c>
      <c r="O316">
        <v>15.382948471688659</v>
      </c>
      <c r="P316" s="3">
        <v>42.926052180846106</v>
      </c>
      <c r="Q316" s="3">
        <v>3.0317991404066031</v>
      </c>
    </row>
    <row r="317" spans="1:17" x14ac:dyDescent="0.3">
      <c r="A317" s="18">
        <v>15485</v>
      </c>
      <c r="B317" s="15" t="s">
        <v>160</v>
      </c>
      <c r="C317" s="15" t="s">
        <v>158</v>
      </c>
      <c r="D317" s="24">
        <v>1</v>
      </c>
      <c r="E317" s="1" t="s">
        <v>162</v>
      </c>
      <c r="F317">
        <v>0.2077219703447942</v>
      </c>
      <c r="G317">
        <v>5.7168370385073439</v>
      </c>
      <c r="H317">
        <v>4.8374472592461819</v>
      </c>
      <c r="I317">
        <v>22.151825807632775</v>
      </c>
      <c r="J317">
        <v>2.5734656828918734E-2</v>
      </c>
      <c r="K317">
        <v>7.2970447777163541</v>
      </c>
      <c r="L317">
        <v>1.0608475552494836</v>
      </c>
      <c r="M317">
        <v>0.39341926060438581</v>
      </c>
      <c r="N317">
        <v>0.20755577484246587</v>
      </c>
      <c r="O317">
        <v>15.4062677467847</v>
      </c>
      <c r="P317" s="3">
        <v>46.021905169137717</v>
      </c>
      <c r="Q317" s="3">
        <v>4.0494053131880241</v>
      </c>
    </row>
    <row r="318" spans="1:17" x14ac:dyDescent="0.3">
      <c r="A318" s="18">
        <v>15486</v>
      </c>
      <c r="B318" s="15" t="s">
        <v>160</v>
      </c>
      <c r="C318" s="15" t="s">
        <v>158</v>
      </c>
      <c r="D318" s="24">
        <v>1</v>
      </c>
      <c r="E318" s="1" t="s">
        <v>162</v>
      </c>
      <c r="F318">
        <v>0.27448974652704944</v>
      </c>
      <c r="G318">
        <v>5.3067685589519655</v>
      </c>
      <c r="H318">
        <v>5.292611881013328</v>
      </c>
      <c r="I318">
        <v>22.553821380423749</v>
      </c>
      <c r="J318">
        <v>6.6412017623016087E-2</v>
      </c>
      <c r="K318">
        <v>7.325632612300943</v>
      </c>
      <c r="L318">
        <v>1.0848215113003195</v>
      </c>
      <c r="M318">
        <v>0.34210370487337899</v>
      </c>
      <c r="N318">
        <v>0.2245939354638623</v>
      </c>
      <c r="O318">
        <v>15.429587021880742</v>
      </c>
      <c r="P318" s="3">
        <v>44.141880226349713</v>
      </c>
      <c r="Q318" s="3">
        <v>3.2453661839088577</v>
      </c>
    </row>
    <row r="319" spans="1:17" x14ac:dyDescent="0.3">
      <c r="A319" s="18">
        <v>15495</v>
      </c>
      <c r="B319" s="15" t="s">
        <v>160</v>
      </c>
      <c r="C319" s="15" t="s">
        <v>158</v>
      </c>
      <c r="D319" s="24">
        <v>1</v>
      </c>
      <c r="E319" s="1" t="s">
        <v>162</v>
      </c>
      <c r="F319">
        <v>0.22997789573887928</v>
      </c>
      <c r="G319">
        <v>5.4032552600238191</v>
      </c>
      <c r="H319">
        <v>4.7474728572689555</v>
      </c>
      <c r="I319">
        <v>22.427613468035883</v>
      </c>
      <c r="J319">
        <v>5.8110515420139085E-2</v>
      </c>
      <c r="K319">
        <v>7.33277957094709</v>
      </c>
      <c r="L319">
        <v>1.1986978025417894</v>
      </c>
      <c r="M319">
        <v>0.19842014882655981</v>
      </c>
      <c r="N319">
        <v>0.2245939354638623</v>
      </c>
      <c r="O319">
        <v>16.121392183063303</v>
      </c>
      <c r="P319" s="3">
        <v>43.505704680205938</v>
      </c>
      <c r="Q319" s="3">
        <v>2.1227997196832571</v>
      </c>
    </row>
    <row r="320" spans="1:17" x14ac:dyDescent="0.3">
      <c r="A320" s="18">
        <v>15495</v>
      </c>
      <c r="B320" s="15" t="s">
        <v>160</v>
      </c>
      <c r="C320" s="15" t="s">
        <v>158</v>
      </c>
      <c r="D320" s="24">
        <v>1</v>
      </c>
      <c r="E320" s="1" t="s">
        <v>162</v>
      </c>
      <c r="F320">
        <v>0.22997789573887928</v>
      </c>
      <c r="G320">
        <v>5.4032552600238191</v>
      </c>
      <c r="H320">
        <v>4.7474728572689555</v>
      </c>
      <c r="I320">
        <v>22.427613468035883</v>
      </c>
      <c r="J320">
        <v>5.8110515420139085E-2</v>
      </c>
      <c r="K320">
        <v>7.33277957094709</v>
      </c>
      <c r="L320">
        <v>1.1986978025417894</v>
      </c>
      <c r="M320">
        <v>0.19842014882655981</v>
      </c>
      <c r="N320">
        <v>0.2245939354638623</v>
      </c>
      <c r="O320">
        <v>16.121392183063303</v>
      </c>
      <c r="P320" s="3">
        <v>43.505704680205938</v>
      </c>
      <c r="Q320" s="3">
        <v>2.1227997196832571</v>
      </c>
    </row>
    <row r="321" spans="1:17" x14ac:dyDescent="0.3">
      <c r="A321" s="18">
        <v>15498</v>
      </c>
      <c r="B321" s="15" t="s">
        <v>160</v>
      </c>
      <c r="C321" s="15" t="s">
        <v>158</v>
      </c>
      <c r="D321" s="24">
        <v>1</v>
      </c>
      <c r="E321" s="1" t="s">
        <v>162</v>
      </c>
      <c r="F321">
        <v>0.22997789573887928</v>
      </c>
      <c r="G321">
        <v>2.780023074632791</v>
      </c>
      <c r="H321">
        <v>6.8803954453173271</v>
      </c>
      <c r="I321">
        <v>22.198569478887542</v>
      </c>
      <c r="J321">
        <v>3.3206008811508043E-2</v>
      </c>
      <c r="K321">
        <v>8.2332963603616438</v>
      </c>
      <c r="L321">
        <v>1.4863852751518187</v>
      </c>
      <c r="M321">
        <v>0.10947318555948128</v>
      </c>
      <c r="N321">
        <v>0.17038160621396453</v>
      </c>
      <c r="O321">
        <v>15.289671371304495</v>
      </c>
      <c r="P321" s="3">
        <v>29.466777591483524</v>
      </c>
      <c r="Q321" s="3">
        <v>0.81889365748948162</v>
      </c>
    </row>
    <row r="322" spans="1:17" x14ac:dyDescent="0.3">
      <c r="A322" s="18">
        <v>15498</v>
      </c>
      <c r="B322" s="15" t="s">
        <v>160</v>
      </c>
      <c r="C322" s="15" t="s">
        <v>158</v>
      </c>
      <c r="D322" s="24">
        <v>1</v>
      </c>
      <c r="E322" s="1" t="s">
        <v>162</v>
      </c>
      <c r="F322">
        <v>0.20030332854676583</v>
      </c>
      <c r="G322">
        <v>2.9669660579595076</v>
      </c>
      <c r="H322">
        <v>6.7269097007679406</v>
      </c>
      <c r="I322">
        <v>21.913433084233478</v>
      </c>
      <c r="J322">
        <v>4.150751101438506E-2</v>
      </c>
      <c r="K322">
        <v>8.2618841949462336</v>
      </c>
      <c r="L322">
        <v>1.576287610342453</v>
      </c>
      <c r="M322">
        <v>0.10947318555948128</v>
      </c>
      <c r="N322">
        <v>0.201360080071049</v>
      </c>
      <c r="O322">
        <v>16.323492567228996</v>
      </c>
      <c r="P322" s="3">
        <v>29.459563363778308</v>
      </c>
      <c r="Q322" s="3">
        <v>0.83742162435235745</v>
      </c>
    </row>
    <row r="323" spans="1:17" x14ac:dyDescent="0.3">
      <c r="A323" s="18">
        <v>15498</v>
      </c>
      <c r="B323" s="15" t="s">
        <v>160</v>
      </c>
      <c r="C323" s="15" t="s">
        <v>158</v>
      </c>
      <c r="D323" s="24">
        <v>1</v>
      </c>
      <c r="E323" s="1" t="s">
        <v>162</v>
      </c>
      <c r="F323">
        <v>0.27448974652704944</v>
      </c>
      <c r="G323">
        <v>3.588099196109567</v>
      </c>
      <c r="H323">
        <v>6.1500150057374867</v>
      </c>
      <c r="I323">
        <v>21.777876437594664</v>
      </c>
      <c r="J323">
        <v>2.4904506608631034E-2</v>
      </c>
      <c r="K323">
        <v>8.4334112024537689</v>
      </c>
      <c r="L323">
        <v>1.3005871157578415</v>
      </c>
      <c r="M323">
        <v>0.17105185243668949</v>
      </c>
      <c r="N323">
        <v>0.17038160621396453</v>
      </c>
      <c r="O323">
        <v>15.973703440788375</v>
      </c>
      <c r="P323" s="3">
        <v>34.041995064182352</v>
      </c>
      <c r="Q323" s="3">
        <v>1.4227626382489336</v>
      </c>
    </row>
    <row r="324" spans="1:17" x14ac:dyDescent="0.3">
      <c r="A324" s="18">
        <v>15498</v>
      </c>
      <c r="B324" s="15" t="s">
        <v>160</v>
      </c>
      <c r="C324" s="15" t="s">
        <v>158</v>
      </c>
      <c r="D324" s="24">
        <v>1</v>
      </c>
      <c r="E324" s="1" t="s">
        <v>162</v>
      </c>
      <c r="F324">
        <v>0.17804740315268072</v>
      </c>
      <c r="G324">
        <v>4.7459396089718142</v>
      </c>
      <c r="H324">
        <v>4.6045723364815956</v>
      </c>
      <c r="I324">
        <v>21.422624536058454</v>
      </c>
      <c r="J324">
        <v>3.3206008811508043E-2</v>
      </c>
      <c r="K324">
        <v>8.1975615671309097</v>
      </c>
      <c r="L324">
        <v>1.3665154948976397</v>
      </c>
      <c r="M324">
        <v>0.21894637111896256</v>
      </c>
      <c r="N324">
        <v>0.21684931699959123</v>
      </c>
      <c r="O324">
        <v>16.766558794053783</v>
      </c>
      <c r="P324" s="3">
        <v>39.407880942219045</v>
      </c>
      <c r="Q324" s="3">
        <v>2.408056222341874</v>
      </c>
    </row>
    <row r="325" spans="1:17" x14ac:dyDescent="0.3">
      <c r="A325" s="18">
        <v>15498</v>
      </c>
      <c r="B325" s="15" t="s">
        <v>160</v>
      </c>
      <c r="C325" s="15" t="s">
        <v>158</v>
      </c>
      <c r="D325" s="24">
        <v>1</v>
      </c>
      <c r="E325" s="1" t="s">
        <v>162</v>
      </c>
      <c r="F325">
        <v>0.19288468674873746</v>
      </c>
      <c r="G325">
        <v>4.2092323342596272</v>
      </c>
      <c r="H325">
        <v>5.8377509047577005</v>
      </c>
      <c r="I325">
        <v>22.053664097997771</v>
      </c>
      <c r="J325">
        <v>4.150751101438506E-2</v>
      </c>
      <c r="K325">
        <v>8.0331815182695223</v>
      </c>
      <c r="L325">
        <v>1.3305545608213862</v>
      </c>
      <c r="M325">
        <v>0.22578844521643016</v>
      </c>
      <c r="N325">
        <v>0.201360080071049</v>
      </c>
      <c r="O325">
        <v>15.546183397360949</v>
      </c>
      <c r="P325" s="3">
        <v>38.351932274739667</v>
      </c>
      <c r="Q325" s="3">
        <v>1.9675696973800967</v>
      </c>
    </row>
    <row r="326" spans="1:17" x14ac:dyDescent="0.3">
      <c r="A326" s="18">
        <v>15498</v>
      </c>
      <c r="B326" s="15" t="s">
        <v>160</v>
      </c>
      <c r="C326" s="15" t="s">
        <v>158</v>
      </c>
      <c r="D326" s="24">
        <v>1</v>
      </c>
      <c r="E326" s="1" t="s">
        <v>162</v>
      </c>
      <c r="F326">
        <v>0.20030332854676583</v>
      </c>
      <c r="G326">
        <v>5.1620385073441843</v>
      </c>
      <c r="H326">
        <v>5.3984641186335942</v>
      </c>
      <c r="I326">
        <v>22.282708087146116</v>
      </c>
      <c r="J326">
        <v>4.150751101438506E-2</v>
      </c>
      <c r="K326">
        <v>8.0903571874387001</v>
      </c>
      <c r="L326">
        <v>0.95296475302072259</v>
      </c>
      <c r="M326">
        <v>0.24631466750883285</v>
      </c>
      <c r="N326">
        <v>0.21684931699959123</v>
      </c>
      <c r="O326">
        <v>14.76110113579422</v>
      </c>
      <c r="P326" s="3">
        <v>44.552559423731942</v>
      </c>
      <c r="Q326" s="3">
        <v>2.3129240281322847</v>
      </c>
    </row>
    <row r="327" spans="1:17" x14ac:dyDescent="0.3">
      <c r="A327" s="18">
        <v>15498</v>
      </c>
      <c r="B327" s="15" t="s">
        <v>160</v>
      </c>
      <c r="C327" s="15" t="s">
        <v>158</v>
      </c>
      <c r="D327" s="24">
        <v>1</v>
      </c>
      <c r="E327" s="1" t="s">
        <v>162</v>
      </c>
      <c r="F327">
        <v>0.19288468674873746</v>
      </c>
      <c r="G327">
        <v>4.7760917030567684</v>
      </c>
      <c r="H327">
        <v>5.477853296848795</v>
      </c>
      <c r="I327">
        <v>21.885386881480621</v>
      </c>
      <c r="J327">
        <v>3.3206008811508043E-2</v>
      </c>
      <c r="K327">
        <v>7.7758910070082203</v>
      </c>
      <c r="L327">
        <v>1.234658736618043</v>
      </c>
      <c r="M327">
        <v>0.2668408898012356</v>
      </c>
      <c r="N327">
        <v>0.201360080071049</v>
      </c>
      <c r="O327">
        <v>15.756056873225321</v>
      </c>
      <c r="P327" s="3">
        <v>41.054704811925617</v>
      </c>
      <c r="Q327" s="3">
        <v>2.4654969045062525</v>
      </c>
    </row>
    <row r="328" spans="1:17" x14ac:dyDescent="0.3">
      <c r="A328" s="18">
        <v>15498</v>
      </c>
      <c r="B328" s="15" t="s">
        <v>160</v>
      </c>
      <c r="C328" s="15" t="s">
        <v>158</v>
      </c>
      <c r="D328" s="24">
        <v>1</v>
      </c>
      <c r="E328" s="1" t="s">
        <v>162</v>
      </c>
      <c r="F328">
        <v>0.17804740315268072</v>
      </c>
      <c r="G328">
        <v>4.8484567288606586</v>
      </c>
      <c r="H328">
        <v>5.435512401800688</v>
      </c>
      <c r="I328">
        <v>22.315428657024452</v>
      </c>
      <c r="J328">
        <v>1.6603004405754022E-2</v>
      </c>
      <c r="K328">
        <v>7.8688014694081341</v>
      </c>
      <c r="L328">
        <v>1.2826066487197147</v>
      </c>
      <c r="M328">
        <v>0.32157748258097624</v>
      </c>
      <c r="N328">
        <v>0.201360080071049</v>
      </c>
      <c r="O328">
        <v>15.103117170536162</v>
      </c>
      <c r="P328" s="3">
        <v>42.449619487292601</v>
      </c>
      <c r="Q328" s="3">
        <v>2.9786312410856284</v>
      </c>
    </row>
    <row r="329" spans="1:17" x14ac:dyDescent="0.3">
      <c r="A329" s="18">
        <v>15498</v>
      </c>
      <c r="B329" s="15" t="s">
        <v>160</v>
      </c>
      <c r="C329" s="15" t="s">
        <v>158</v>
      </c>
      <c r="D329" s="24">
        <v>1</v>
      </c>
      <c r="E329" s="1" t="s">
        <v>162</v>
      </c>
      <c r="F329">
        <v>0.17062876135465238</v>
      </c>
      <c r="G329">
        <v>5.5781374057165536</v>
      </c>
      <c r="H329">
        <v>4.8374472592461819</v>
      </c>
      <c r="I329">
        <v>22.385544163906598</v>
      </c>
      <c r="J329">
        <v>3.3206008811508043E-2</v>
      </c>
      <c r="K329">
        <v>7.3899552401162678</v>
      </c>
      <c r="L329">
        <v>1.4084699179866025</v>
      </c>
      <c r="M329">
        <v>0.3284195566784438</v>
      </c>
      <c r="N329">
        <v>0.18587084314250674</v>
      </c>
      <c r="O329">
        <v>15.693872139635879</v>
      </c>
      <c r="P329" s="3">
        <v>44.95429585369024</v>
      </c>
      <c r="Q329" s="3">
        <v>3.4031412411172095</v>
      </c>
    </row>
    <row r="330" spans="1:17" x14ac:dyDescent="0.3">
      <c r="A330" s="18">
        <v>15498</v>
      </c>
      <c r="B330" s="15" t="s">
        <v>160</v>
      </c>
      <c r="C330" s="15" t="s">
        <v>158</v>
      </c>
      <c r="D330" s="24">
        <v>1</v>
      </c>
      <c r="E330" s="1" t="s">
        <v>162</v>
      </c>
      <c r="F330">
        <v>0.17804740315268072</v>
      </c>
      <c r="G330">
        <v>5.5901982433505353</v>
      </c>
      <c r="H330">
        <v>5.1020778532968487</v>
      </c>
      <c r="I330">
        <v>22.810911572324951</v>
      </c>
      <c r="J330">
        <v>3.3206008811508043E-2</v>
      </c>
      <c r="K330">
        <v>7.5614822476238022</v>
      </c>
      <c r="L330">
        <v>1.0908150003130284</v>
      </c>
      <c r="M330">
        <v>0.34894577897084655</v>
      </c>
      <c r="N330">
        <v>0.17038160621396453</v>
      </c>
      <c r="O330">
        <v>14.574546935025889</v>
      </c>
      <c r="P330" s="3">
        <v>46.845097201937733</v>
      </c>
      <c r="Q330" s="3">
        <v>3.4274320282840054</v>
      </c>
    </row>
    <row r="331" spans="1:17" x14ac:dyDescent="0.3">
      <c r="A331" s="18">
        <v>15498</v>
      </c>
      <c r="B331" s="15" t="s">
        <v>160</v>
      </c>
      <c r="C331" s="15" t="s">
        <v>158</v>
      </c>
      <c r="D331" s="24">
        <v>1</v>
      </c>
      <c r="E331" s="1" t="s">
        <v>162</v>
      </c>
      <c r="F331">
        <v>0.17062876135465238</v>
      </c>
      <c r="G331">
        <v>5.867597508932116</v>
      </c>
      <c r="H331">
        <v>4.7686433047930086</v>
      </c>
      <c r="I331">
        <v>22.151825807632775</v>
      </c>
      <c r="J331">
        <v>2.4904506608631034E-2</v>
      </c>
      <c r="K331">
        <v>7.3613674055316798</v>
      </c>
      <c r="L331">
        <v>1.0368735991986477</v>
      </c>
      <c r="M331">
        <v>0.36947200126324931</v>
      </c>
      <c r="N331">
        <v>0.21684931699959123</v>
      </c>
      <c r="O331">
        <v>15.693872139635879</v>
      </c>
      <c r="P331" s="3">
        <v>46.209110078856945</v>
      </c>
      <c r="Q331" s="3">
        <v>3.8651961818230869</v>
      </c>
    </row>
    <row r="332" spans="1:17" x14ac:dyDescent="0.3">
      <c r="A332" s="18">
        <v>15498</v>
      </c>
      <c r="B332" s="15" t="s">
        <v>160</v>
      </c>
      <c r="C332" s="15" t="s">
        <v>158</v>
      </c>
      <c r="D332" s="24">
        <v>1</v>
      </c>
      <c r="E332" s="1" t="s">
        <v>162</v>
      </c>
      <c r="F332">
        <v>0.19288468674873746</v>
      </c>
      <c r="G332">
        <v>5.7228674573243348</v>
      </c>
      <c r="H332">
        <v>4.2129190572866095</v>
      </c>
      <c r="I332">
        <v>21.123465040027963</v>
      </c>
      <c r="J332">
        <v>2.4904506608631034E-2</v>
      </c>
      <c r="K332">
        <v>7.0969299356242299</v>
      </c>
      <c r="L332">
        <v>1.48039178613911</v>
      </c>
      <c r="M332">
        <v>0.36947200126324931</v>
      </c>
      <c r="N332">
        <v>0.23233855392813343</v>
      </c>
      <c r="O332">
        <v>18.080211291130784</v>
      </c>
      <c r="P332" s="3">
        <v>42.105350396653904</v>
      </c>
      <c r="Q332" s="3">
        <v>4.35285913641059</v>
      </c>
    </row>
    <row r="333" spans="1:17" x14ac:dyDescent="0.3">
      <c r="A333" s="18">
        <v>15498</v>
      </c>
      <c r="B333" s="15" t="s">
        <v>160</v>
      </c>
      <c r="C333" s="15" t="s">
        <v>158</v>
      </c>
      <c r="D333" s="24">
        <v>1</v>
      </c>
      <c r="E333" s="1" t="s">
        <v>162</v>
      </c>
      <c r="F333">
        <v>0.27448974652704944</v>
      </c>
      <c r="G333">
        <v>4.8967000793965854</v>
      </c>
      <c r="H333">
        <v>5.6472168770412212</v>
      </c>
      <c r="I333">
        <v>22.465008405039697</v>
      </c>
      <c r="J333">
        <v>3.3206008811508043E-2</v>
      </c>
      <c r="K333">
        <v>7.7044214205467467</v>
      </c>
      <c r="L333">
        <v>1.3005871157578415</v>
      </c>
      <c r="M333">
        <v>0.36947200126324931</v>
      </c>
      <c r="N333">
        <v>0.17812622467823563</v>
      </c>
      <c r="O333">
        <v>14.737781860698179</v>
      </c>
      <c r="P333" s="3">
        <v>43.291815219160711</v>
      </c>
      <c r="Q333" s="3">
        <v>3.2836083712442043</v>
      </c>
    </row>
    <row r="334" spans="1:17" x14ac:dyDescent="0.3">
      <c r="A334" s="18">
        <v>15498</v>
      </c>
      <c r="B334" s="15" t="s">
        <v>160</v>
      </c>
      <c r="C334" s="15" t="s">
        <v>158</v>
      </c>
      <c r="D334" s="24">
        <v>1</v>
      </c>
      <c r="E334" s="1" t="s">
        <v>162</v>
      </c>
      <c r="F334">
        <v>0.16321011955662401</v>
      </c>
      <c r="G334">
        <v>5.7168370385073439</v>
      </c>
      <c r="H334">
        <v>5.1126630770588752</v>
      </c>
      <c r="I334">
        <v>22.259336251518732</v>
      </c>
      <c r="J334">
        <v>3.3206008811508043E-2</v>
      </c>
      <c r="K334">
        <v>7.339926529593237</v>
      </c>
      <c r="L334">
        <v>1.1687303574782446</v>
      </c>
      <c r="M334">
        <v>0.37631407536071693</v>
      </c>
      <c r="N334">
        <v>0.23233855392813343</v>
      </c>
      <c r="O334">
        <v>15.359629196592618</v>
      </c>
      <c r="P334" s="3">
        <v>46.097230315537686</v>
      </c>
      <c r="Q334" s="3">
        <v>3.6789892836104294</v>
      </c>
    </row>
    <row r="335" spans="1:17" x14ac:dyDescent="0.3">
      <c r="A335" s="18">
        <v>15498</v>
      </c>
      <c r="B335" s="15" t="s">
        <v>160</v>
      </c>
      <c r="C335" s="15" t="s">
        <v>158</v>
      </c>
      <c r="D335" s="24">
        <v>1</v>
      </c>
      <c r="E335" s="1" t="s">
        <v>162</v>
      </c>
      <c r="F335">
        <v>0.18546604495070909</v>
      </c>
      <c r="G335">
        <v>5.6806545256053989</v>
      </c>
      <c r="H335">
        <v>5.1973448671550884</v>
      </c>
      <c r="I335">
        <v>22.212592580263973</v>
      </c>
      <c r="J335">
        <v>4.150751101438506E-2</v>
      </c>
      <c r="K335">
        <v>7.33277957094709</v>
      </c>
      <c r="L335">
        <v>1.2826066487197147</v>
      </c>
      <c r="M335">
        <v>0.38315614945818449</v>
      </c>
      <c r="N335">
        <v>0.23233855392813343</v>
      </c>
      <c r="O335">
        <v>15.530637213963589</v>
      </c>
      <c r="P335" s="3">
        <v>45.664656200583465</v>
      </c>
      <c r="Q335" s="3">
        <v>3.6846314824516782</v>
      </c>
    </row>
    <row r="336" spans="1:17" x14ac:dyDescent="0.3">
      <c r="A336" s="18">
        <v>15498</v>
      </c>
      <c r="B336" s="15" t="s">
        <v>160</v>
      </c>
      <c r="C336" s="15" t="s">
        <v>158</v>
      </c>
      <c r="D336" s="24">
        <v>1</v>
      </c>
      <c r="E336" s="1" t="s">
        <v>162</v>
      </c>
      <c r="F336">
        <v>0.18546604495070909</v>
      </c>
      <c r="G336">
        <v>5.1620385073441843</v>
      </c>
      <c r="H336">
        <v>5.4884385206108206</v>
      </c>
      <c r="I336">
        <v>22.479031506416128</v>
      </c>
      <c r="J336">
        <v>3.3206008811508043E-2</v>
      </c>
      <c r="K336">
        <v>7.6329518340852749</v>
      </c>
      <c r="L336">
        <v>1.1567433794528268</v>
      </c>
      <c r="M336">
        <v>0.39684029765311962</v>
      </c>
      <c r="N336">
        <v>0.18587084314250674</v>
      </c>
      <c r="O336">
        <v>14.737781860698179</v>
      </c>
      <c r="P336" s="3">
        <v>44.591619315709941</v>
      </c>
      <c r="Q336" s="3">
        <v>3.6163827341053714</v>
      </c>
    </row>
    <row r="337" spans="1:17" x14ac:dyDescent="0.3">
      <c r="A337" s="18">
        <v>15498</v>
      </c>
      <c r="B337" s="15" t="s">
        <v>160</v>
      </c>
      <c r="C337" s="15" t="s">
        <v>158</v>
      </c>
      <c r="D337" s="24">
        <v>1</v>
      </c>
      <c r="E337" s="1" t="s">
        <v>162</v>
      </c>
      <c r="F337">
        <v>0.19288468674873746</v>
      </c>
      <c r="G337">
        <v>5.0836430627233025</v>
      </c>
      <c r="H337">
        <v>5.3296601641804218</v>
      </c>
      <c r="I337">
        <v>22.371521062530167</v>
      </c>
      <c r="J337">
        <v>3.3206008811508043E-2</v>
      </c>
      <c r="K337">
        <v>7.7330092551313365</v>
      </c>
      <c r="L337">
        <v>1.1986978025417894</v>
      </c>
      <c r="M337">
        <v>0.40368237175058719</v>
      </c>
      <c r="N337">
        <v>0.201360080071049</v>
      </c>
      <c r="O337">
        <v>14.838832052781026</v>
      </c>
      <c r="P337" s="3">
        <v>44.045356720129121</v>
      </c>
      <c r="Q337" s="3">
        <v>3.7818263114142012</v>
      </c>
    </row>
    <row r="338" spans="1:17" x14ac:dyDescent="0.3">
      <c r="A338" s="18">
        <v>15498</v>
      </c>
      <c r="B338" s="15" t="s">
        <v>160</v>
      </c>
      <c r="C338" s="15" t="s">
        <v>158</v>
      </c>
      <c r="D338" s="24">
        <v>1</v>
      </c>
      <c r="E338" s="1" t="s">
        <v>162</v>
      </c>
      <c r="F338">
        <v>0.17062876135465238</v>
      </c>
      <c r="G338">
        <v>5.4816507046447001</v>
      </c>
      <c r="H338">
        <v>5.1232483008209018</v>
      </c>
      <c r="I338">
        <v>22.450985303663266</v>
      </c>
      <c r="J338">
        <v>3.3206008811508043E-2</v>
      </c>
      <c r="K338">
        <v>7.4614248265777405</v>
      </c>
      <c r="L338">
        <v>1.1687303574782446</v>
      </c>
      <c r="M338">
        <v>0.41052444584805475</v>
      </c>
      <c r="N338">
        <v>0.19361546160677787</v>
      </c>
      <c r="O338">
        <v>14.815512777684983</v>
      </c>
      <c r="P338" s="3">
        <v>45.949629630463534</v>
      </c>
      <c r="Q338" s="3">
        <v>3.9921298336266058</v>
      </c>
    </row>
    <row r="339" spans="1:17" x14ac:dyDescent="0.3">
      <c r="A339" s="18">
        <v>15498</v>
      </c>
      <c r="B339" s="15" t="s">
        <v>160</v>
      </c>
      <c r="C339" s="15" t="s">
        <v>158</v>
      </c>
      <c r="D339" s="24">
        <v>1</v>
      </c>
      <c r="E339" s="1" t="s">
        <v>162</v>
      </c>
      <c r="F339">
        <v>0.14837283596056727</v>
      </c>
      <c r="G339">
        <v>7.0254379217943628</v>
      </c>
      <c r="H339">
        <v>4.1017742077853292</v>
      </c>
      <c r="I339">
        <v>20.819631176871994</v>
      </c>
      <c r="J339">
        <v>2.4904506608631034E-2</v>
      </c>
      <c r="K339">
        <v>6.5752019544554798</v>
      </c>
      <c r="L339">
        <v>1.4743982971264009</v>
      </c>
      <c r="M339">
        <v>0.48578726092019814</v>
      </c>
      <c r="N339">
        <v>0.201360080071049</v>
      </c>
      <c r="O339">
        <v>18.220126941707033</v>
      </c>
      <c r="P339" s="3">
        <v>46.976408641872233</v>
      </c>
      <c r="Q339" s="3">
        <v>5.7899625072900101</v>
      </c>
    </row>
    <row r="340" spans="1:17" x14ac:dyDescent="0.3">
      <c r="A340" s="18">
        <v>15498</v>
      </c>
      <c r="B340" s="15" t="s">
        <v>160</v>
      </c>
      <c r="C340" s="15" t="s">
        <v>158</v>
      </c>
      <c r="D340" s="24">
        <v>1</v>
      </c>
      <c r="E340" s="1" t="s">
        <v>162</v>
      </c>
      <c r="F340">
        <v>0.1409541941625389</v>
      </c>
      <c r="G340">
        <v>7.133985460500198</v>
      </c>
      <c r="H340">
        <v>4.4193309206461286</v>
      </c>
      <c r="I340">
        <v>22.296731188522546</v>
      </c>
      <c r="J340">
        <v>2.4904506608631034E-2</v>
      </c>
      <c r="K340">
        <v>6.5394671612247439</v>
      </c>
      <c r="L340">
        <v>1.1387629124146998</v>
      </c>
      <c r="M340">
        <v>0.5268397055050037</v>
      </c>
      <c r="N340">
        <v>0.17038160621396453</v>
      </c>
      <c r="O340">
        <v>15.351856104893937</v>
      </c>
      <c r="P340" s="3">
        <v>51.637703183508741</v>
      </c>
      <c r="Q340" s="3">
        <v>5.8258321726929605</v>
      </c>
    </row>
    <row r="341" spans="1:17" x14ac:dyDescent="0.3">
      <c r="A341" s="18">
        <v>15498</v>
      </c>
      <c r="B341" s="15" t="s">
        <v>160</v>
      </c>
      <c r="C341" s="15" t="s">
        <v>158</v>
      </c>
      <c r="D341" s="24">
        <v>1</v>
      </c>
      <c r="E341" s="1" t="s">
        <v>162</v>
      </c>
      <c r="F341">
        <v>0.15579147775859564</v>
      </c>
      <c r="G341">
        <v>7.6827535728463676</v>
      </c>
      <c r="H341">
        <v>4.366404801835996</v>
      </c>
      <c r="I341">
        <v>21.960176755488241</v>
      </c>
      <c r="J341">
        <v>2.4904506608631034E-2</v>
      </c>
      <c r="K341">
        <v>6.3679401537172096</v>
      </c>
      <c r="L341">
        <v>0.98892568709697615</v>
      </c>
      <c r="M341">
        <v>0.61578666877208221</v>
      </c>
      <c r="N341">
        <v>0.201360080071049</v>
      </c>
      <c r="O341">
        <v>15.320763738099215</v>
      </c>
      <c r="P341" s="3">
        <v>53.535761337004665</v>
      </c>
      <c r="Q341" s="3">
        <v>6.8192511537804297</v>
      </c>
    </row>
    <row r="342" spans="1:17" x14ac:dyDescent="0.3">
      <c r="A342" s="18">
        <v>15498</v>
      </c>
      <c r="B342" s="15" t="s">
        <v>160</v>
      </c>
      <c r="C342" s="15" t="s">
        <v>158</v>
      </c>
      <c r="D342" s="24">
        <v>1</v>
      </c>
      <c r="E342" s="1" t="s">
        <v>162</v>
      </c>
      <c r="F342">
        <v>0.14837283596056727</v>
      </c>
      <c r="G342">
        <v>8.2194608475585547</v>
      </c>
      <c r="H342">
        <v>4.3028934592638359</v>
      </c>
      <c r="I342">
        <v>20.899095418005096</v>
      </c>
      <c r="J342">
        <v>2.4904506608631034E-2</v>
      </c>
      <c r="K342">
        <v>6.3750871123633566</v>
      </c>
      <c r="L342">
        <v>0.89302986289363306</v>
      </c>
      <c r="M342">
        <v>0.62262874286954983</v>
      </c>
      <c r="N342">
        <v>0.18587084314250674</v>
      </c>
      <c r="O342">
        <v>16.191350008351428</v>
      </c>
      <c r="P342" s="3">
        <v>53.840554445364504</v>
      </c>
      <c r="Q342" s="3">
        <v>6.9843919750752894</v>
      </c>
    </row>
    <row r="343" spans="1:17" x14ac:dyDescent="0.3">
      <c r="A343" s="18">
        <v>15498</v>
      </c>
      <c r="B343" s="15" t="s">
        <v>160</v>
      </c>
      <c r="C343" s="15" t="s">
        <v>158</v>
      </c>
      <c r="D343" s="24">
        <v>1</v>
      </c>
      <c r="E343" s="1" t="s">
        <v>162</v>
      </c>
      <c r="F343">
        <v>0.13353555236451053</v>
      </c>
      <c r="G343">
        <v>9.8959172786820169</v>
      </c>
      <c r="H343">
        <v>4.1070668196663425</v>
      </c>
      <c r="I343">
        <v>20.772887505617231</v>
      </c>
      <c r="J343">
        <v>2.4904506608631034E-2</v>
      </c>
      <c r="K343">
        <v>5.6032155785794524</v>
      </c>
      <c r="L343">
        <v>0.89902335190634197</v>
      </c>
      <c r="M343">
        <v>0.6499970392594201</v>
      </c>
      <c r="N343">
        <v>0.17038160621396453</v>
      </c>
      <c r="O343">
        <v>16.144711458159346</v>
      </c>
      <c r="P343" s="3">
        <v>58.47801071916939</v>
      </c>
      <c r="Q343" s="3">
        <v>7.5893702815814308</v>
      </c>
    </row>
    <row r="344" spans="1:17" x14ac:dyDescent="0.3">
      <c r="A344" s="18">
        <v>15498</v>
      </c>
      <c r="B344" s="15" t="s">
        <v>160</v>
      </c>
      <c r="C344" s="15" t="s">
        <v>158</v>
      </c>
      <c r="D344" s="24">
        <v>1</v>
      </c>
      <c r="E344" s="1" t="s">
        <v>162</v>
      </c>
      <c r="F344">
        <v>7.4186417980283637E-2</v>
      </c>
      <c r="G344">
        <v>14.533309348947995</v>
      </c>
      <c r="H344">
        <v>2.3393344514078911</v>
      </c>
      <c r="I344">
        <v>20.13249920942696</v>
      </c>
      <c r="J344">
        <v>8.3015022028770109E-3</v>
      </c>
      <c r="K344">
        <v>4.888519713964727</v>
      </c>
      <c r="L344">
        <v>0.31765491767357418</v>
      </c>
      <c r="M344">
        <v>0.67052326155182285</v>
      </c>
      <c r="N344">
        <v>0.201360080071049</v>
      </c>
      <c r="O344">
        <v>15.289671371304495</v>
      </c>
      <c r="P344" s="3">
        <v>68.593084007159945</v>
      </c>
      <c r="Q344" s="3">
        <v>12.948046655055101</v>
      </c>
    </row>
    <row r="345" spans="1:17" x14ac:dyDescent="0.3">
      <c r="A345" s="18">
        <v>15499</v>
      </c>
      <c r="B345" s="15" t="s">
        <v>160</v>
      </c>
      <c r="C345" s="15" t="s">
        <v>158</v>
      </c>
      <c r="D345" s="24">
        <v>1</v>
      </c>
      <c r="E345" s="1" t="s">
        <v>162</v>
      </c>
      <c r="F345">
        <v>0.28190838832507781</v>
      </c>
      <c r="G345">
        <v>5.4937115422786817</v>
      </c>
      <c r="H345">
        <v>4.8639103186512482</v>
      </c>
      <c r="I345">
        <v>22.385544163906598</v>
      </c>
      <c r="J345">
        <v>4.9809013217262069E-2</v>
      </c>
      <c r="K345">
        <v>7.4399839506392986</v>
      </c>
      <c r="L345">
        <v>1.0848215113003195</v>
      </c>
      <c r="M345">
        <v>0.35578785306831417</v>
      </c>
      <c r="N345">
        <v>0.23233855392813343</v>
      </c>
      <c r="O345">
        <v>15.91151870719893</v>
      </c>
      <c r="P345" s="3">
        <v>44.237190380686002</v>
      </c>
      <c r="Q345" s="3">
        <v>3.6570402884157791</v>
      </c>
    </row>
    <row r="346" spans="1:17" x14ac:dyDescent="0.3">
      <c r="A346" s="18">
        <v>15499</v>
      </c>
      <c r="B346" s="15" t="s">
        <v>160</v>
      </c>
      <c r="C346" s="15" t="s">
        <v>158</v>
      </c>
      <c r="D346" s="24">
        <v>1</v>
      </c>
      <c r="E346" s="1" t="s">
        <v>162</v>
      </c>
      <c r="F346">
        <v>0.21514061214282254</v>
      </c>
      <c r="G346">
        <v>5.9882058852719329</v>
      </c>
      <c r="H346">
        <v>4.6998393503398361</v>
      </c>
      <c r="I346">
        <v>22.404241632408503</v>
      </c>
      <c r="J346">
        <v>2.3244206168055632E-2</v>
      </c>
      <c r="K346">
        <v>7.3113386950086481</v>
      </c>
      <c r="L346">
        <v>1.0368735991986477</v>
      </c>
      <c r="M346">
        <v>0.42215597181374964</v>
      </c>
      <c r="N346">
        <v>0.2091046985353201</v>
      </c>
      <c r="O346">
        <v>15.421813930182061</v>
      </c>
      <c r="P346" s="3">
        <v>47.150759065371261</v>
      </c>
      <c r="Q346" s="3">
        <v>4.4535730252558672</v>
      </c>
    </row>
    <row r="347" spans="1:17" x14ac:dyDescent="0.3">
      <c r="A347" s="18">
        <v>15535</v>
      </c>
      <c r="B347" s="15" t="s">
        <v>160</v>
      </c>
      <c r="C347" s="15" t="s">
        <v>158</v>
      </c>
      <c r="D347" s="24">
        <v>1</v>
      </c>
      <c r="E347" s="1" t="s">
        <v>162</v>
      </c>
      <c r="F347">
        <v>0.2077219703447942</v>
      </c>
      <c r="G347">
        <v>6.7962820067487089</v>
      </c>
      <c r="H347">
        <v>4.5939871127195691</v>
      </c>
      <c r="I347">
        <v>20.782236239868183</v>
      </c>
      <c r="J347">
        <v>3.3206008811508043E-2</v>
      </c>
      <c r="K347">
        <v>6.5752019544554798</v>
      </c>
      <c r="L347">
        <v>1.3125740937832593</v>
      </c>
      <c r="M347">
        <v>0.389998223555652</v>
      </c>
      <c r="N347">
        <v>0.25557240932094677</v>
      </c>
      <c r="O347">
        <v>18.499958242859531</v>
      </c>
      <c r="P347" s="3">
        <v>45.77274362685219</v>
      </c>
      <c r="Q347" s="3">
        <v>4.219436420951804</v>
      </c>
    </row>
    <row r="348" spans="1:17" x14ac:dyDescent="0.3">
      <c r="A348" s="18">
        <v>15535</v>
      </c>
      <c r="B348" s="15" t="s">
        <v>160</v>
      </c>
      <c r="C348" s="15" t="s">
        <v>158</v>
      </c>
      <c r="D348" s="24">
        <v>1</v>
      </c>
      <c r="E348" s="1" t="s">
        <v>162</v>
      </c>
      <c r="F348">
        <v>0.16469384791622968</v>
      </c>
      <c r="G348">
        <v>6.7359778185788004</v>
      </c>
      <c r="H348">
        <v>4.4934274869803161</v>
      </c>
      <c r="I348">
        <v>21.081395735898674</v>
      </c>
      <c r="J348">
        <v>3.403615903179575E-2</v>
      </c>
      <c r="K348">
        <v>6.6967002514399834</v>
      </c>
      <c r="L348">
        <v>1.348535027859513</v>
      </c>
      <c r="M348">
        <v>0.41462969030653518</v>
      </c>
      <c r="N348">
        <v>0.21762377884601836</v>
      </c>
      <c r="O348">
        <v>17.466137046935025</v>
      </c>
      <c r="P348" s="3">
        <v>46.981099242448039</v>
      </c>
      <c r="Q348" s="3">
        <v>4.5695540219788819</v>
      </c>
    </row>
    <row r="349" spans="1:17" x14ac:dyDescent="0.3">
      <c r="A349" s="18">
        <v>15536</v>
      </c>
      <c r="B349" s="15" t="s">
        <v>160</v>
      </c>
      <c r="C349" s="15" t="s">
        <v>158</v>
      </c>
      <c r="D349" s="24">
        <v>1</v>
      </c>
      <c r="E349" s="1" t="s">
        <v>162</v>
      </c>
      <c r="F349">
        <v>0.18546604495070909</v>
      </c>
      <c r="G349">
        <v>6.6997953056768553</v>
      </c>
      <c r="H349">
        <v>4.0541407008562098</v>
      </c>
      <c r="I349">
        <v>20.754190037115325</v>
      </c>
      <c r="J349">
        <v>3.3206008811508043E-2</v>
      </c>
      <c r="K349">
        <v>6.811051589778339</v>
      </c>
      <c r="L349">
        <v>1.3785024729230577</v>
      </c>
      <c r="M349">
        <v>0.41052444584805475</v>
      </c>
      <c r="N349">
        <v>0.24008317239240456</v>
      </c>
      <c r="O349">
        <v>18.064665107733422</v>
      </c>
      <c r="P349" s="3">
        <v>46.008935172445277</v>
      </c>
      <c r="Q349" s="3">
        <v>4.9923277253760956</v>
      </c>
    </row>
    <row r="350" spans="1:17" x14ac:dyDescent="0.3">
      <c r="A350" s="18">
        <v>15536</v>
      </c>
      <c r="B350" s="15" t="s">
        <v>160</v>
      </c>
      <c r="C350" s="15" t="s">
        <v>158</v>
      </c>
      <c r="D350" s="24">
        <v>1</v>
      </c>
      <c r="E350" s="1" t="s">
        <v>162</v>
      </c>
      <c r="F350">
        <v>0.15579147775859564</v>
      </c>
      <c r="G350">
        <v>6.8505557761016265</v>
      </c>
      <c r="H350">
        <v>4.0753111483802629</v>
      </c>
      <c r="I350">
        <v>20.894421050879618</v>
      </c>
      <c r="J350">
        <v>3.3206008811508043E-2</v>
      </c>
      <c r="K350">
        <v>6.7324350446707202</v>
      </c>
      <c r="L350">
        <v>1.3365480498340951</v>
      </c>
      <c r="M350">
        <v>0.44473481633539269</v>
      </c>
      <c r="N350">
        <v>0.2245939354638623</v>
      </c>
      <c r="O350">
        <v>17.893657090362453</v>
      </c>
      <c r="P350" s="3">
        <v>46.798919085747791</v>
      </c>
      <c r="Q350" s="3">
        <v>5.3594685934492681</v>
      </c>
    </row>
    <row r="351" spans="1:17" x14ac:dyDescent="0.3">
      <c r="A351" s="18">
        <v>15536</v>
      </c>
      <c r="B351" s="15" t="s">
        <v>160</v>
      </c>
      <c r="C351" s="15" t="s">
        <v>158</v>
      </c>
      <c r="D351" s="24">
        <v>1</v>
      </c>
      <c r="E351" s="1" t="s">
        <v>162</v>
      </c>
      <c r="F351">
        <v>0.16321011955662401</v>
      </c>
      <c r="G351">
        <v>7.170167973402144</v>
      </c>
      <c r="H351">
        <v>3.9482884632359427</v>
      </c>
      <c r="I351">
        <v>20.847677379624855</v>
      </c>
      <c r="J351">
        <v>1.6603004405754022E-2</v>
      </c>
      <c r="K351">
        <v>6.5966428303939226</v>
      </c>
      <c r="L351">
        <v>1.2286652476053339</v>
      </c>
      <c r="M351">
        <v>0.47210311272526295</v>
      </c>
      <c r="N351">
        <v>0.2245939354638623</v>
      </c>
      <c r="O351">
        <v>18.313404042091197</v>
      </c>
      <c r="P351" s="3">
        <v>47.35730829475802</v>
      </c>
      <c r="Q351" s="3">
        <v>5.8423529363111095</v>
      </c>
    </row>
    <row r="352" spans="1:17" x14ac:dyDescent="0.3">
      <c r="A352" s="18">
        <v>15537</v>
      </c>
      <c r="B352" s="15" t="s">
        <v>160</v>
      </c>
      <c r="C352" s="15" t="s">
        <v>158</v>
      </c>
      <c r="D352" s="24">
        <v>1</v>
      </c>
      <c r="E352" s="1" t="s">
        <v>162</v>
      </c>
      <c r="F352">
        <v>0.14837283596056727</v>
      </c>
      <c r="G352">
        <v>7.8395444620881296</v>
      </c>
      <c r="H352">
        <v>3.8530214493777031</v>
      </c>
      <c r="I352">
        <v>20.847677379624855</v>
      </c>
      <c r="J352">
        <v>2.4904506608631034E-2</v>
      </c>
      <c r="K352">
        <v>6.4965854093478601</v>
      </c>
      <c r="L352">
        <v>1.3065806047705506</v>
      </c>
      <c r="M352">
        <v>0.47894518682273057</v>
      </c>
      <c r="N352">
        <v>0.24008317239240456</v>
      </c>
      <c r="O352">
        <v>17.341767579756137</v>
      </c>
      <c r="P352" s="3">
        <v>50.948904332239934</v>
      </c>
      <c r="Q352" s="3">
        <v>6.0595611698855834</v>
      </c>
    </row>
    <row r="353" spans="1:17" x14ac:dyDescent="0.3">
      <c r="A353" s="18">
        <v>15537</v>
      </c>
      <c r="B353" s="15" t="s">
        <v>160</v>
      </c>
      <c r="C353" s="15" t="s">
        <v>158</v>
      </c>
      <c r="D353" s="24">
        <v>1</v>
      </c>
      <c r="E353" s="1" t="s">
        <v>162</v>
      </c>
      <c r="F353">
        <v>0.15579147775859564</v>
      </c>
      <c r="G353">
        <v>7.8154227868201671</v>
      </c>
      <c r="H353">
        <v>3.7948027186865563</v>
      </c>
      <c r="I353">
        <v>20.800933708370088</v>
      </c>
      <c r="J353">
        <v>2.4904506608631034E-2</v>
      </c>
      <c r="K353">
        <v>6.2678827326711479</v>
      </c>
      <c r="L353">
        <v>1.3844959619357669</v>
      </c>
      <c r="M353">
        <v>0.4926293350176657</v>
      </c>
      <c r="N353">
        <v>0.24782779085667567</v>
      </c>
      <c r="O353">
        <v>17.932522548855854</v>
      </c>
      <c r="P353" s="3">
        <v>50.034525015998611</v>
      </c>
      <c r="Q353" s="3">
        <v>6.3113498030237203</v>
      </c>
    </row>
    <row r="354" spans="1:17" x14ac:dyDescent="0.3">
      <c r="A354" s="18">
        <v>15538</v>
      </c>
      <c r="B354" s="15" t="s">
        <v>160</v>
      </c>
      <c r="C354" s="15" t="s">
        <v>158</v>
      </c>
      <c r="D354" s="24">
        <v>1</v>
      </c>
      <c r="E354" s="1" t="s">
        <v>162</v>
      </c>
      <c r="F354">
        <v>0.18546604495070909</v>
      </c>
      <c r="G354">
        <v>6.6394911175069469</v>
      </c>
      <c r="H354">
        <v>4.6469132315297017</v>
      </c>
      <c r="I354">
        <v>21.268370420917734</v>
      </c>
      <c r="J354">
        <v>1.6603004405754022E-2</v>
      </c>
      <c r="K354">
        <v>7.2613099844856173</v>
      </c>
      <c r="L354">
        <v>1.1986978025417894</v>
      </c>
      <c r="M354">
        <v>0.39684029765311962</v>
      </c>
      <c r="N354">
        <v>0.23233855392813343</v>
      </c>
      <c r="O354">
        <v>16.665508601970938</v>
      </c>
      <c r="P354" s="3">
        <v>47.79123836444024</v>
      </c>
      <c r="Q354" s="3">
        <v>4.2434949807721116</v>
      </c>
    </row>
    <row r="355" spans="1:17" x14ac:dyDescent="0.3">
      <c r="A355" s="18">
        <v>15538</v>
      </c>
      <c r="B355" s="15" t="s">
        <v>160</v>
      </c>
      <c r="C355" s="15" t="s">
        <v>158</v>
      </c>
      <c r="D355" s="24">
        <v>1</v>
      </c>
      <c r="E355" s="1" t="s">
        <v>162</v>
      </c>
      <c r="F355">
        <v>0.19288468674873746</v>
      </c>
      <c r="G355">
        <v>6.9349816395394992</v>
      </c>
      <c r="H355">
        <v>4.7104245741018627</v>
      </c>
      <c r="I355">
        <v>20.941164722134381</v>
      </c>
      <c r="J355">
        <v>1.6603004405754022E-2</v>
      </c>
      <c r="K355">
        <v>6.8968150935321075</v>
      </c>
      <c r="L355">
        <v>1.0908150003130284</v>
      </c>
      <c r="M355">
        <v>0.39684029765311962</v>
      </c>
      <c r="N355">
        <v>0.23233855392813343</v>
      </c>
      <c r="O355">
        <v>16.844289711040588</v>
      </c>
      <c r="P355" s="3">
        <v>48.611971774336084</v>
      </c>
      <c r="Q355" s="3">
        <v>4.1886758967811266</v>
      </c>
    </row>
    <row r="356" spans="1:17" x14ac:dyDescent="0.3">
      <c r="A356" s="18">
        <v>15545</v>
      </c>
      <c r="B356" s="15" t="s">
        <v>160</v>
      </c>
      <c r="C356" s="15" t="s">
        <v>158</v>
      </c>
      <c r="D356" s="24">
        <v>1</v>
      </c>
      <c r="E356" s="1" t="s">
        <v>162</v>
      </c>
      <c r="F356">
        <v>0.33383888091127639</v>
      </c>
      <c r="G356">
        <v>6.0786621675267964</v>
      </c>
      <c r="H356">
        <v>4.6098649483626097</v>
      </c>
      <c r="I356">
        <v>20.98323402626367</v>
      </c>
      <c r="J356">
        <v>3.3206008811508043E-2</v>
      </c>
      <c r="K356">
        <v>7.1112238529165239</v>
      </c>
      <c r="L356">
        <v>1.4923787641645279</v>
      </c>
      <c r="M356">
        <v>0.36947200126324931</v>
      </c>
      <c r="N356">
        <v>0.24008317239240456</v>
      </c>
      <c r="O356">
        <v>17.435044680140305</v>
      </c>
      <c r="P356" s="3">
        <v>44.477628337795835</v>
      </c>
      <c r="Q356" s="3">
        <v>3.9930099079535473</v>
      </c>
    </row>
    <row r="357" spans="1:17" x14ac:dyDescent="0.3">
      <c r="A357" s="18">
        <v>15545</v>
      </c>
      <c r="B357" s="15" t="s">
        <v>160</v>
      </c>
      <c r="C357" s="15" t="s">
        <v>158</v>
      </c>
      <c r="D357" s="24">
        <v>1</v>
      </c>
      <c r="E357" s="1" t="s">
        <v>162</v>
      </c>
      <c r="F357">
        <v>0.2077219703447942</v>
      </c>
      <c r="G357">
        <v>6.2656051508535135</v>
      </c>
      <c r="H357">
        <v>4.3928678612410632</v>
      </c>
      <c r="I357">
        <v>21.371206497678212</v>
      </c>
      <c r="J357">
        <v>3.3206008811508043E-2</v>
      </c>
      <c r="K357">
        <v>6.8753742175936647</v>
      </c>
      <c r="L357">
        <v>1.4384373630501472</v>
      </c>
      <c r="M357">
        <v>0.4310506681404575</v>
      </c>
      <c r="N357">
        <v>0.23233855392813343</v>
      </c>
      <c r="O357">
        <v>17.093028645398363</v>
      </c>
      <c r="P357" s="3">
        <v>45.718073693016883</v>
      </c>
      <c r="Q357" s="3">
        <v>4.8452358601052206</v>
      </c>
    </row>
    <row r="358" spans="1:17" x14ac:dyDescent="0.3">
      <c r="A358" s="18">
        <v>15546</v>
      </c>
      <c r="B358" s="15" t="s">
        <v>160</v>
      </c>
      <c r="C358" s="15" t="s">
        <v>158</v>
      </c>
      <c r="D358" s="24">
        <v>1</v>
      </c>
      <c r="E358" s="1" t="s">
        <v>162</v>
      </c>
      <c r="F358">
        <v>0.17062876135465238</v>
      </c>
      <c r="G358">
        <v>6.5128523223501391</v>
      </c>
      <c r="H358">
        <v>4.3399417424309288</v>
      </c>
      <c r="I358">
        <v>21.128139407153441</v>
      </c>
      <c r="J358">
        <v>2.4904506608631034E-2</v>
      </c>
      <c r="K358">
        <v>7.0040194732243162</v>
      </c>
      <c r="L358">
        <v>1.4444308520628564</v>
      </c>
      <c r="M358">
        <v>0.36262992716577869</v>
      </c>
      <c r="N358">
        <v>0.23233855392813343</v>
      </c>
      <c r="O358">
        <v>17.489456322031067</v>
      </c>
      <c r="P358" s="3">
        <v>46.109808485512332</v>
      </c>
      <c r="Q358" s="3">
        <v>4.1557554623810589</v>
      </c>
    </row>
    <row r="359" spans="1:17" x14ac:dyDescent="0.3">
      <c r="A359" s="18">
        <v>15546</v>
      </c>
      <c r="B359" s="15" t="s">
        <v>160</v>
      </c>
      <c r="C359" s="15" t="s">
        <v>158</v>
      </c>
      <c r="D359" s="24">
        <v>1</v>
      </c>
      <c r="E359" s="1" t="s">
        <v>162</v>
      </c>
      <c r="F359">
        <v>0.17062876135465238</v>
      </c>
      <c r="G359">
        <v>6.482700228265184</v>
      </c>
      <c r="H359">
        <v>4.3134786830258625</v>
      </c>
      <c r="I359">
        <v>21.128139407153441</v>
      </c>
      <c r="J359">
        <v>2.4904506608631034E-2</v>
      </c>
      <c r="K359">
        <v>7.0254603491627581</v>
      </c>
      <c r="L359">
        <v>1.4444308520628564</v>
      </c>
      <c r="M359">
        <v>0.39684029765311962</v>
      </c>
      <c r="N359">
        <v>0.23233855392813343</v>
      </c>
      <c r="O359">
        <v>17.520548688825787</v>
      </c>
      <c r="P359" s="3">
        <v>45.950405406990896</v>
      </c>
      <c r="Q359" s="3">
        <v>4.5565730580736155</v>
      </c>
    </row>
    <row r="360" spans="1:17" x14ac:dyDescent="0.3">
      <c r="A360" s="18">
        <v>15546</v>
      </c>
      <c r="B360" s="15" t="s">
        <v>160</v>
      </c>
      <c r="C360" s="15" t="s">
        <v>158</v>
      </c>
      <c r="D360" s="24">
        <v>1</v>
      </c>
      <c r="E360" s="1" t="s">
        <v>162</v>
      </c>
      <c r="F360">
        <v>0.21514061214282254</v>
      </c>
      <c r="G360">
        <v>6.6093390234219926</v>
      </c>
      <c r="H360">
        <v>5.0491517344867143</v>
      </c>
      <c r="I360">
        <v>21.174883078408204</v>
      </c>
      <c r="J360">
        <v>1.6603004405754022E-2</v>
      </c>
      <c r="K360">
        <v>7.1826934393779984</v>
      </c>
      <c r="L360">
        <v>1.1387629124146998</v>
      </c>
      <c r="M360">
        <v>0.43789274223792513</v>
      </c>
      <c r="N360">
        <v>0.2245939354638623</v>
      </c>
      <c r="O360">
        <v>16.105845999665942</v>
      </c>
      <c r="P360" s="3">
        <v>48.53040456253337</v>
      </c>
      <c r="Q360" s="3">
        <v>4.306609273403426</v>
      </c>
    </row>
    <row r="361" spans="1:17" x14ac:dyDescent="0.3">
      <c r="A361" s="18">
        <v>15546</v>
      </c>
      <c r="B361" s="15" t="s">
        <v>160</v>
      </c>
      <c r="C361" s="15" t="s">
        <v>158</v>
      </c>
      <c r="D361" s="24">
        <v>1</v>
      </c>
      <c r="E361" s="1" t="s">
        <v>162</v>
      </c>
      <c r="F361">
        <v>0.18546604495070909</v>
      </c>
      <c r="G361">
        <v>7.1460462981341797</v>
      </c>
      <c r="H361">
        <v>4.2499673404537024</v>
      </c>
      <c r="I361">
        <v>21.081395735898674</v>
      </c>
      <c r="J361">
        <v>1.6603004405754022E-2</v>
      </c>
      <c r="K361">
        <v>6.9897255559320213</v>
      </c>
      <c r="L361">
        <v>1.2406522256307519</v>
      </c>
      <c r="M361">
        <v>0.45841896453032788</v>
      </c>
      <c r="N361">
        <v>0.2091046985353201</v>
      </c>
      <c r="O361">
        <v>16.665508601970938</v>
      </c>
      <c r="P361" s="3">
        <v>49.627904706838329</v>
      </c>
      <c r="Q361" s="3">
        <v>5.300639080727116</v>
      </c>
    </row>
    <row r="362" spans="1:17" x14ac:dyDescent="0.3">
      <c r="A362" s="18">
        <v>15547</v>
      </c>
      <c r="B362" s="15" t="s">
        <v>160</v>
      </c>
      <c r="C362" s="15" t="s">
        <v>158</v>
      </c>
      <c r="D362" s="24">
        <v>1</v>
      </c>
      <c r="E362" s="1" t="s">
        <v>162</v>
      </c>
      <c r="F362">
        <v>0.14837283596056727</v>
      </c>
      <c r="G362">
        <v>6.4404872965462481</v>
      </c>
      <c r="H362">
        <v>2.9003513107953043</v>
      </c>
      <c r="I362">
        <v>19.866060283274805</v>
      </c>
      <c r="J362">
        <v>4.150751101438506E-2</v>
      </c>
      <c r="K362">
        <v>6.0892087665174666</v>
      </c>
      <c r="L362">
        <v>1.9239099730795719</v>
      </c>
      <c r="M362">
        <v>0.42420859404298994</v>
      </c>
      <c r="N362">
        <v>0.26331702778521793</v>
      </c>
      <c r="O362">
        <v>21.92789168197762</v>
      </c>
      <c r="P362" s="3">
        <v>40.29334163243761</v>
      </c>
      <c r="Q362" s="3">
        <v>7.0544273788623286</v>
      </c>
    </row>
    <row r="363" spans="1:17" x14ac:dyDescent="0.3">
      <c r="A363" s="18">
        <v>15547</v>
      </c>
      <c r="B363" s="15" t="s">
        <v>160</v>
      </c>
      <c r="C363" s="15" t="s">
        <v>158</v>
      </c>
      <c r="D363" s="24">
        <v>1</v>
      </c>
      <c r="E363" s="1" t="s">
        <v>162</v>
      </c>
      <c r="F363">
        <v>0.2077219703447942</v>
      </c>
      <c r="G363">
        <v>7.1038333664152429</v>
      </c>
      <c r="H363">
        <v>4.964469944390502</v>
      </c>
      <c r="I363">
        <v>21.128139407153441</v>
      </c>
      <c r="J363">
        <v>1.6603004405754022E-2</v>
      </c>
      <c r="K363">
        <v>6.9968725145781683</v>
      </c>
      <c r="L363">
        <v>1.0368735991986477</v>
      </c>
      <c r="M363">
        <v>0.4310506681404575</v>
      </c>
      <c r="N363">
        <v>0.24008317239240456</v>
      </c>
      <c r="O363">
        <v>16.074753632871221</v>
      </c>
      <c r="P363" s="3">
        <v>50.382055331717936</v>
      </c>
      <c r="Q363" s="3">
        <v>4.311414466381712</v>
      </c>
    </row>
    <row r="364" spans="1:17" x14ac:dyDescent="0.3">
      <c r="A364" s="18">
        <v>15547</v>
      </c>
      <c r="B364" s="15" t="s">
        <v>160</v>
      </c>
      <c r="C364" s="15" t="s">
        <v>158</v>
      </c>
      <c r="D364" s="24">
        <v>1</v>
      </c>
      <c r="E364" s="1" t="s">
        <v>162</v>
      </c>
      <c r="F364">
        <v>0.15579147775859564</v>
      </c>
      <c r="G364">
        <v>6.9108599642715367</v>
      </c>
      <c r="H364">
        <v>4.2499673404537024</v>
      </c>
      <c r="I364">
        <v>20.707446365860559</v>
      </c>
      <c r="J364">
        <v>2.4904506608631034E-2</v>
      </c>
      <c r="K364">
        <v>6.7181411273784262</v>
      </c>
      <c r="L364">
        <v>1.3305545608213862</v>
      </c>
      <c r="M364">
        <v>0.43789274223792513</v>
      </c>
      <c r="N364">
        <v>0.21684931699959123</v>
      </c>
      <c r="O364">
        <v>17.606052697511274</v>
      </c>
      <c r="P364" s="3">
        <v>47.421021776852605</v>
      </c>
      <c r="Q364" s="3">
        <v>5.0753429552692424</v>
      </c>
    </row>
    <row r="365" spans="1:17" x14ac:dyDescent="0.3">
      <c r="A365" s="18">
        <v>15548</v>
      </c>
      <c r="B365" s="15" t="s">
        <v>160</v>
      </c>
      <c r="C365" s="15" t="s">
        <v>158</v>
      </c>
      <c r="D365" s="24">
        <v>1</v>
      </c>
      <c r="E365" s="1" t="s">
        <v>162</v>
      </c>
      <c r="F365">
        <v>0.18546604495070909</v>
      </c>
      <c r="G365">
        <v>5.9339321159190153</v>
      </c>
      <c r="H365">
        <v>4.3028934592638359</v>
      </c>
      <c r="I365">
        <v>20.847677379624855</v>
      </c>
      <c r="J365">
        <v>3.3206008811508043E-2</v>
      </c>
      <c r="K365">
        <v>7.1112238529165239</v>
      </c>
      <c r="L365">
        <v>1.576287610342453</v>
      </c>
      <c r="M365">
        <v>0.37631407536071693</v>
      </c>
      <c r="N365">
        <v>0.21684931699959123</v>
      </c>
      <c r="O365">
        <v>17.847018540170371</v>
      </c>
      <c r="P365" s="3">
        <v>43.309086524936703</v>
      </c>
      <c r="Q365" s="3">
        <v>4.3412880358687618</v>
      </c>
    </row>
    <row r="366" spans="1:17" x14ac:dyDescent="0.3">
      <c r="A366" s="18">
        <v>15548</v>
      </c>
      <c r="B366" s="15" t="s">
        <v>160</v>
      </c>
      <c r="C366" s="15" t="s">
        <v>158</v>
      </c>
      <c r="D366" s="24">
        <v>1</v>
      </c>
      <c r="E366" s="1" t="s">
        <v>162</v>
      </c>
      <c r="F366">
        <v>0.20030332854676583</v>
      </c>
      <c r="G366">
        <v>5.8615670901151251</v>
      </c>
      <c r="H366">
        <v>4.5781092770765293</v>
      </c>
      <c r="I366">
        <v>21.034652064643911</v>
      </c>
      <c r="J366">
        <v>2.4904506608631034E-2</v>
      </c>
      <c r="K366">
        <v>7.354220446885531</v>
      </c>
      <c r="L366">
        <v>1.4324438740374383</v>
      </c>
      <c r="M366">
        <v>0.41052444584805475</v>
      </c>
      <c r="N366">
        <v>0.23233855392813343</v>
      </c>
      <c r="O366">
        <v>17.201851929179888</v>
      </c>
      <c r="P366" s="3">
        <v>43.912790633328882</v>
      </c>
      <c r="Q366" s="3">
        <v>4.4463569154159313</v>
      </c>
    </row>
    <row r="367" spans="1:17" x14ac:dyDescent="0.3">
      <c r="A367" s="18">
        <v>15555</v>
      </c>
      <c r="B367" s="15" t="s">
        <v>160</v>
      </c>
      <c r="C367" s="15" t="s">
        <v>158</v>
      </c>
      <c r="D367" s="24">
        <v>1</v>
      </c>
      <c r="E367" s="1" t="s">
        <v>162</v>
      </c>
      <c r="F367">
        <v>0.19288468674873746</v>
      </c>
      <c r="G367">
        <v>7.3691717943628428</v>
      </c>
      <c r="H367">
        <v>4.9591773325094879</v>
      </c>
      <c r="I367">
        <v>21.034652064643911</v>
      </c>
      <c r="J367">
        <v>2.3244206168055632E-2</v>
      </c>
      <c r="K367">
        <v>6.6109367476862166</v>
      </c>
      <c r="L367">
        <v>0.9589582420334315</v>
      </c>
      <c r="M367">
        <v>0.32157748258097624</v>
      </c>
      <c r="N367">
        <v>0.2021345419174761</v>
      </c>
      <c r="O367">
        <v>16.463408217805245</v>
      </c>
      <c r="P367" s="3">
        <v>50.701528853197239</v>
      </c>
      <c r="Q367" s="3">
        <v>3.2554186361874451</v>
      </c>
    </row>
    <row r="368" spans="1:17" x14ac:dyDescent="0.3">
      <c r="A368" s="18">
        <v>15555</v>
      </c>
      <c r="B368" s="15" t="s">
        <v>160</v>
      </c>
      <c r="C368" s="15" t="s">
        <v>158</v>
      </c>
      <c r="D368" s="24">
        <v>1</v>
      </c>
      <c r="E368" s="1" t="s">
        <v>162</v>
      </c>
      <c r="F368">
        <v>0.20030332854676583</v>
      </c>
      <c r="G368">
        <v>6.8686470325525999</v>
      </c>
      <c r="H368">
        <v>4.7686433047930086</v>
      </c>
      <c r="I368">
        <v>20.917792886507002</v>
      </c>
      <c r="J368">
        <v>3.3206008811508043E-2</v>
      </c>
      <c r="K368">
        <v>6.8753742175936647</v>
      </c>
      <c r="L368">
        <v>1.2286652476053339</v>
      </c>
      <c r="M368">
        <v>0.39684029765311962</v>
      </c>
      <c r="N368">
        <v>0.23233855392813343</v>
      </c>
      <c r="O368">
        <v>16.852062802739269</v>
      </c>
      <c r="P368" s="3">
        <v>48.360387663597017</v>
      </c>
      <c r="Q368" s="3">
        <v>4.1396547303597213</v>
      </c>
    </row>
    <row r="369" spans="1:17" x14ac:dyDescent="0.3">
      <c r="A369" s="18">
        <v>15555</v>
      </c>
      <c r="B369" s="15" t="s">
        <v>160</v>
      </c>
      <c r="C369" s="15" t="s">
        <v>158</v>
      </c>
      <c r="D369" s="24">
        <v>1</v>
      </c>
      <c r="E369" s="1" t="s">
        <v>162</v>
      </c>
      <c r="F369">
        <v>0.17804740315268072</v>
      </c>
      <c r="G369">
        <v>6.6093390234219926</v>
      </c>
      <c r="H369">
        <v>3.9429958513549295</v>
      </c>
      <c r="I369">
        <v>20.483076743837692</v>
      </c>
      <c r="J369">
        <v>3.3206008811508043E-2</v>
      </c>
      <c r="K369">
        <v>6.5894958717477756</v>
      </c>
      <c r="L369">
        <v>1.576287610342453</v>
      </c>
      <c r="M369">
        <v>0.40368237175058719</v>
      </c>
      <c r="N369">
        <v>0.24782779085667567</v>
      </c>
      <c r="O369">
        <v>19.106259395356606</v>
      </c>
      <c r="P369" s="3">
        <v>44.284233910938305</v>
      </c>
      <c r="Q369" s="3">
        <v>5.0447169108042713</v>
      </c>
    </row>
    <row r="370" spans="1:17" x14ac:dyDescent="0.3">
      <c r="A370" s="18">
        <v>15555</v>
      </c>
      <c r="B370" s="15" t="s">
        <v>160</v>
      </c>
      <c r="C370" s="15" t="s">
        <v>158</v>
      </c>
      <c r="D370" s="24">
        <v>1</v>
      </c>
      <c r="E370" s="1" t="s">
        <v>162</v>
      </c>
      <c r="F370">
        <v>0.17804740315268072</v>
      </c>
      <c r="G370">
        <v>6.9229208019055175</v>
      </c>
      <c r="H370">
        <v>4.5886945008385558</v>
      </c>
      <c r="I370">
        <v>20.917792886507002</v>
      </c>
      <c r="J370">
        <v>4.150751101438506E-2</v>
      </c>
      <c r="K370">
        <v>6.5323202025785969</v>
      </c>
      <c r="L370">
        <v>1.2406522256307519</v>
      </c>
      <c r="M370">
        <v>0.41736651994552237</v>
      </c>
      <c r="N370">
        <v>0.23233855392813343</v>
      </c>
      <c r="O370">
        <v>18.189034574912309</v>
      </c>
      <c r="P370" s="3">
        <v>46.652931818916137</v>
      </c>
      <c r="Q370" s="3">
        <v>4.5071649593326049</v>
      </c>
    </row>
    <row r="371" spans="1:17" x14ac:dyDescent="0.3">
      <c r="A371" s="18">
        <v>15555</v>
      </c>
      <c r="B371" s="15" t="s">
        <v>160</v>
      </c>
      <c r="C371" s="15" t="s">
        <v>158</v>
      </c>
      <c r="D371" s="24">
        <v>1</v>
      </c>
      <c r="E371" s="1" t="s">
        <v>162</v>
      </c>
      <c r="F371">
        <v>0.2596524629309927</v>
      </c>
      <c r="G371">
        <v>6.7540690750297729</v>
      </c>
      <c r="H371">
        <v>5.4619754612057552</v>
      </c>
      <c r="I371">
        <v>21.132813774278915</v>
      </c>
      <c r="J371">
        <v>4.150751101438506E-2</v>
      </c>
      <c r="K371">
        <v>7.1183708115626727</v>
      </c>
      <c r="L371">
        <v>1.0368735991986477</v>
      </c>
      <c r="M371">
        <v>0.45157689043286031</v>
      </c>
      <c r="N371">
        <v>0.19361546160677787</v>
      </c>
      <c r="O371">
        <v>15.670552864539836</v>
      </c>
      <c r="P371" s="3">
        <v>49.756494855642167</v>
      </c>
      <c r="Q371" s="3">
        <v>4.1137918327163403</v>
      </c>
    </row>
    <row r="372" spans="1:17" x14ac:dyDescent="0.3">
      <c r="A372" s="18">
        <v>15555</v>
      </c>
      <c r="B372" s="15" t="s">
        <v>160</v>
      </c>
      <c r="C372" s="15" t="s">
        <v>158</v>
      </c>
      <c r="D372" s="24">
        <v>1</v>
      </c>
      <c r="E372" s="1" t="s">
        <v>162</v>
      </c>
      <c r="F372">
        <v>0.2596524629309927</v>
      </c>
      <c r="G372">
        <v>6.7540690750297729</v>
      </c>
      <c r="H372">
        <v>5.4619754612057552</v>
      </c>
      <c r="I372">
        <v>21.132813774278915</v>
      </c>
      <c r="J372">
        <v>4.150751101438506E-2</v>
      </c>
      <c r="K372">
        <v>7.1183708115626727</v>
      </c>
      <c r="L372">
        <v>1.0368735991986477</v>
      </c>
      <c r="M372">
        <v>0.45157689043286031</v>
      </c>
      <c r="N372">
        <v>0.19361546160677787</v>
      </c>
      <c r="O372">
        <v>15.670552864539836</v>
      </c>
      <c r="P372" s="3">
        <v>49.756494855642167</v>
      </c>
      <c r="Q372" s="3">
        <v>4.1137918327163403</v>
      </c>
    </row>
    <row r="373" spans="1:17" x14ac:dyDescent="0.3">
      <c r="A373" s="18">
        <v>15555</v>
      </c>
      <c r="B373" s="15" t="s">
        <v>160</v>
      </c>
      <c r="C373" s="15" t="s">
        <v>158</v>
      </c>
      <c r="D373" s="24">
        <v>1</v>
      </c>
      <c r="E373" s="1" t="s">
        <v>162</v>
      </c>
      <c r="F373">
        <v>0.17804740315268072</v>
      </c>
      <c r="G373">
        <v>6.7480386562127821</v>
      </c>
      <c r="H373">
        <v>4.4881348750993029</v>
      </c>
      <c r="I373">
        <v>20.679400163107704</v>
      </c>
      <c r="J373">
        <v>2.4904506608631034E-2</v>
      </c>
      <c r="K373">
        <v>6.7538759206091612</v>
      </c>
      <c r="L373">
        <v>1.3545285168722219</v>
      </c>
      <c r="M373">
        <v>0.47894518682273057</v>
      </c>
      <c r="N373">
        <v>0.2245939354638623</v>
      </c>
      <c r="O373">
        <v>17.466137046935025</v>
      </c>
      <c r="P373" s="3">
        <v>47.025661331298473</v>
      </c>
      <c r="Q373" s="3">
        <v>5.2470689314385544</v>
      </c>
    </row>
    <row r="374" spans="1:17" x14ac:dyDescent="0.3">
      <c r="A374" s="18">
        <v>15555</v>
      </c>
      <c r="B374" s="15" t="s">
        <v>160</v>
      </c>
      <c r="C374" s="15" t="s">
        <v>158</v>
      </c>
      <c r="D374" s="24">
        <v>1</v>
      </c>
      <c r="E374" s="1" t="s">
        <v>162</v>
      </c>
      <c r="F374">
        <v>0.21514061214282254</v>
      </c>
      <c r="G374">
        <v>6.6997953056768553</v>
      </c>
      <c r="H374">
        <v>3.9906293582840493</v>
      </c>
      <c r="I374">
        <v>20.670051428856748</v>
      </c>
      <c r="J374">
        <v>3.3206008811508043E-2</v>
      </c>
      <c r="K374">
        <v>6.5609080371631858</v>
      </c>
      <c r="L374">
        <v>1.4144634069993114</v>
      </c>
      <c r="M374">
        <v>0.49947140911513332</v>
      </c>
      <c r="N374">
        <v>0.2245939354638623</v>
      </c>
      <c r="O374">
        <v>18.841974277601469</v>
      </c>
      <c r="P374" s="3">
        <v>44.96432594817874</v>
      </c>
      <c r="Q374" s="3">
        <v>6.0988025526343987</v>
      </c>
    </row>
    <row r="375" spans="1:17" x14ac:dyDescent="0.3">
      <c r="A375" s="18">
        <v>15556</v>
      </c>
      <c r="B375" s="15" t="s">
        <v>160</v>
      </c>
      <c r="C375" s="15" t="s">
        <v>158</v>
      </c>
      <c r="D375" s="24">
        <v>1</v>
      </c>
      <c r="E375" s="1" t="s">
        <v>162</v>
      </c>
      <c r="F375">
        <v>0.22255925394085091</v>
      </c>
      <c r="G375">
        <v>4.8424263100436677</v>
      </c>
      <c r="H375">
        <v>5.2132227027981282</v>
      </c>
      <c r="I375">
        <v>21.58622738545013</v>
      </c>
      <c r="J375">
        <v>7.4713519825893096E-2</v>
      </c>
      <c r="K375">
        <v>7.6615396686698647</v>
      </c>
      <c r="L375">
        <v>1.5822810993551621</v>
      </c>
      <c r="M375">
        <v>0.5268397055050037</v>
      </c>
      <c r="N375">
        <v>0.24782779085667567</v>
      </c>
      <c r="O375">
        <v>16.867608986136627</v>
      </c>
      <c r="P375" s="3">
        <v>39.745482775481207</v>
      </c>
      <c r="Q375" s="3">
        <v>4.9828566436736725</v>
      </c>
    </row>
    <row r="376" spans="1:17" x14ac:dyDescent="0.3">
      <c r="A376" s="18">
        <v>15557</v>
      </c>
      <c r="B376" s="15" t="s">
        <v>160</v>
      </c>
      <c r="C376" s="15" t="s">
        <v>158</v>
      </c>
      <c r="D376" s="24">
        <v>1</v>
      </c>
      <c r="E376" s="1" t="s">
        <v>162</v>
      </c>
      <c r="F376">
        <v>0.20030332854676583</v>
      </c>
      <c r="G376">
        <v>5.6866849444223897</v>
      </c>
      <c r="H376">
        <v>4.6998393503398361</v>
      </c>
      <c r="I376">
        <v>21.380555231929169</v>
      </c>
      <c r="J376">
        <v>4.150751101438506E-2</v>
      </c>
      <c r="K376">
        <v>7.354220446885531</v>
      </c>
      <c r="L376">
        <v>1.5283396982407813</v>
      </c>
      <c r="M376">
        <v>0.30789333438604111</v>
      </c>
      <c r="N376">
        <v>0.21684931699959123</v>
      </c>
      <c r="O376">
        <v>17.372859946550861</v>
      </c>
      <c r="P376" s="3">
        <v>42.925684597617106</v>
      </c>
      <c r="Q376" s="3">
        <v>3.2877805847819555</v>
      </c>
    </row>
    <row r="377" spans="1:17" x14ac:dyDescent="0.3">
      <c r="A377" s="18">
        <v>15557</v>
      </c>
      <c r="B377" s="15" t="s">
        <v>160</v>
      </c>
      <c r="C377" s="15" t="s">
        <v>158</v>
      </c>
      <c r="D377" s="24">
        <v>1</v>
      </c>
      <c r="E377" s="1" t="s">
        <v>162</v>
      </c>
      <c r="F377">
        <v>0.20030332854676583</v>
      </c>
      <c r="G377">
        <v>5.6866849444223897</v>
      </c>
      <c r="H377">
        <v>4.6998393503398361</v>
      </c>
      <c r="I377">
        <v>21.380555231929169</v>
      </c>
      <c r="J377">
        <v>4.150751101438506E-2</v>
      </c>
      <c r="K377">
        <v>7.354220446885531</v>
      </c>
      <c r="L377">
        <v>1.5283396982407813</v>
      </c>
      <c r="M377">
        <v>0.30789333438604111</v>
      </c>
      <c r="N377">
        <v>0.21684931699959123</v>
      </c>
      <c r="O377">
        <v>17.372859946550861</v>
      </c>
      <c r="P377" s="3">
        <v>42.925684597617106</v>
      </c>
      <c r="Q377" s="3">
        <v>3.2877805847819555</v>
      </c>
    </row>
    <row r="378" spans="1:17" x14ac:dyDescent="0.3">
      <c r="A378" s="18">
        <v>15557</v>
      </c>
      <c r="B378" s="15" t="s">
        <v>160</v>
      </c>
      <c r="C378" s="15" t="s">
        <v>158</v>
      </c>
      <c r="D378" s="24">
        <v>1</v>
      </c>
      <c r="E378" s="1" t="s">
        <v>162</v>
      </c>
      <c r="F378">
        <v>0.18546604495070909</v>
      </c>
      <c r="G378">
        <v>5.6565328503374355</v>
      </c>
      <c r="H378">
        <v>4.6786689028157822</v>
      </c>
      <c r="I378">
        <v>21.039326431769386</v>
      </c>
      <c r="J378">
        <v>3.7356759912946548E-2</v>
      </c>
      <c r="K378">
        <v>7.1398116875011137</v>
      </c>
      <c r="L378">
        <v>1.5163527202153635</v>
      </c>
      <c r="M378">
        <v>0.39684029765311962</v>
      </c>
      <c r="N378">
        <v>0.21994716438529963</v>
      </c>
      <c r="O378">
        <v>17.629371972607316</v>
      </c>
      <c r="P378" s="3">
        <v>42.437049912561243</v>
      </c>
      <c r="Q378" s="3">
        <v>4.2159072443345682</v>
      </c>
    </row>
    <row r="379" spans="1:17" x14ac:dyDescent="0.3">
      <c r="A379" s="18">
        <v>15557</v>
      </c>
      <c r="B379" s="15" t="s">
        <v>160</v>
      </c>
      <c r="C379" s="15" t="s">
        <v>158</v>
      </c>
      <c r="D379" s="24">
        <v>1</v>
      </c>
      <c r="E379" s="1" t="s">
        <v>162</v>
      </c>
      <c r="F379">
        <v>0.18546604495070909</v>
      </c>
      <c r="G379">
        <v>5.6565328503374355</v>
      </c>
      <c r="H379">
        <v>4.6786689028157822</v>
      </c>
      <c r="I379">
        <v>21.039326431769386</v>
      </c>
      <c r="J379">
        <v>3.7356759912946548E-2</v>
      </c>
      <c r="K379">
        <v>7.1398116875011137</v>
      </c>
      <c r="L379">
        <v>1.5163527202153635</v>
      </c>
      <c r="M379">
        <v>0.39684029765311962</v>
      </c>
      <c r="N379">
        <v>0.21994716438529963</v>
      </c>
      <c r="O379">
        <v>17.629371972607316</v>
      </c>
      <c r="P379" s="3">
        <v>42.437049912561243</v>
      </c>
      <c r="Q379" s="3">
        <v>4.2159072443345682</v>
      </c>
    </row>
    <row r="380" spans="1:17" x14ac:dyDescent="0.3">
      <c r="A380" s="18">
        <v>15557</v>
      </c>
      <c r="B380" s="15" t="s">
        <v>160</v>
      </c>
      <c r="C380" s="15" t="s">
        <v>158</v>
      </c>
      <c r="D380" s="24">
        <v>1</v>
      </c>
      <c r="E380" s="1" t="s">
        <v>162</v>
      </c>
      <c r="F380">
        <v>0.25223382113296439</v>
      </c>
      <c r="G380">
        <v>5.7409587137753073</v>
      </c>
      <c r="H380">
        <v>4.6680836790537557</v>
      </c>
      <c r="I380">
        <v>21.062698267396769</v>
      </c>
      <c r="J380">
        <v>3.3206008811508043E-2</v>
      </c>
      <c r="K380">
        <v>7.1826934393779984</v>
      </c>
      <c r="L380">
        <v>1.4564178300882742</v>
      </c>
      <c r="M380">
        <v>0.45841896453032788</v>
      </c>
      <c r="N380">
        <v>0.2245939354638623</v>
      </c>
      <c r="O380">
        <v>17.489456322031067</v>
      </c>
      <c r="P380" s="3">
        <v>42.99453616546716</v>
      </c>
      <c r="Q380" s="3">
        <v>4.8488865281096523</v>
      </c>
    </row>
    <row r="381" spans="1:17" x14ac:dyDescent="0.3">
      <c r="A381" s="18">
        <v>15595</v>
      </c>
      <c r="B381" s="15" t="s">
        <v>160</v>
      </c>
      <c r="C381" s="15" t="s">
        <v>158</v>
      </c>
      <c r="D381" s="24">
        <v>1</v>
      </c>
      <c r="E381" s="1" t="s">
        <v>162</v>
      </c>
      <c r="F381">
        <v>0.2596524629309927</v>
      </c>
      <c r="G381">
        <v>5.5540157304485911</v>
      </c>
      <c r="H381">
        <v>4.7951063641980758</v>
      </c>
      <c r="I381">
        <v>22.469682772165175</v>
      </c>
      <c r="J381">
        <v>4.150751101438506E-2</v>
      </c>
      <c r="K381">
        <v>7.5186004957469184</v>
      </c>
      <c r="L381">
        <v>1.0608475552494836</v>
      </c>
      <c r="M381">
        <v>0.35578785306831417</v>
      </c>
      <c r="N381">
        <v>0.23233855392813343</v>
      </c>
      <c r="O381">
        <v>15.724964506430601</v>
      </c>
      <c r="P381" s="3">
        <v>44.798130327690139</v>
      </c>
      <c r="Q381" s="3">
        <v>3.7075688634904393</v>
      </c>
    </row>
    <row r="382" spans="1:17" x14ac:dyDescent="0.3">
      <c r="A382" s="18">
        <v>15597</v>
      </c>
      <c r="B382" s="15" t="s">
        <v>160</v>
      </c>
      <c r="C382" s="15" t="s">
        <v>158</v>
      </c>
      <c r="D382" s="24">
        <v>1</v>
      </c>
      <c r="E382" s="1" t="s">
        <v>162</v>
      </c>
      <c r="F382">
        <v>0.23739653753690765</v>
      </c>
      <c r="G382">
        <v>5.2705860460500196</v>
      </c>
      <c r="H382">
        <v>4.9962256156765816</v>
      </c>
      <c r="I382">
        <v>22.427613468035883</v>
      </c>
      <c r="J382">
        <v>4.9809013217262069E-2</v>
      </c>
      <c r="K382">
        <v>7.4542778679315935</v>
      </c>
      <c r="L382">
        <v>1.0788280222876105</v>
      </c>
      <c r="M382">
        <v>0.3284195566784438</v>
      </c>
      <c r="N382">
        <v>0.23233855392813343</v>
      </c>
      <c r="O382">
        <v>15.724964506430601</v>
      </c>
      <c r="P382" s="3">
        <v>43.506626718026453</v>
      </c>
      <c r="Q382" s="3">
        <v>3.2985579788022168</v>
      </c>
    </row>
    <row r="383" spans="1:17" x14ac:dyDescent="0.3">
      <c r="A383" s="18">
        <v>15598</v>
      </c>
      <c r="B383" s="15" t="s">
        <v>160</v>
      </c>
      <c r="C383" s="15" t="s">
        <v>158</v>
      </c>
      <c r="D383" s="24">
        <v>1</v>
      </c>
      <c r="E383" s="1" t="s">
        <v>162</v>
      </c>
      <c r="F383">
        <v>0.18546604495070909</v>
      </c>
      <c r="G383">
        <v>5.6625632691544263</v>
      </c>
      <c r="H383">
        <v>4.3346491305499155</v>
      </c>
      <c r="I383">
        <v>21.174883078408204</v>
      </c>
      <c r="J383">
        <v>2.4904506608631034E-2</v>
      </c>
      <c r="K383">
        <v>7.2970447777163541</v>
      </c>
      <c r="L383">
        <v>1.5882745883678708</v>
      </c>
      <c r="M383">
        <v>0.33526163077591142</v>
      </c>
      <c r="N383">
        <v>0.24008317239240456</v>
      </c>
      <c r="O383">
        <v>17.676010522799398</v>
      </c>
      <c r="P383" s="3">
        <v>42.398544247964146</v>
      </c>
      <c r="Q383" s="3">
        <v>3.8587263278771489</v>
      </c>
    </row>
    <row r="384" spans="1:17" x14ac:dyDescent="0.3">
      <c r="A384" s="18">
        <v>15598</v>
      </c>
      <c r="B384" s="15" t="s">
        <v>160</v>
      </c>
      <c r="C384" s="15" t="s">
        <v>158</v>
      </c>
      <c r="D384" s="24">
        <v>1</v>
      </c>
      <c r="E384" s="1" t="s">
        <v>162</v>
      </c>
      <c r="F384">
        <v>0.17062876135465238</v>
      </c>
      <c r="G384">
        <v>5.9218712782850336</v>
      </c>
      <c r="H384">
        <v>4.4828422632182896</v>
      </c>
      <c r="I384">
        <v>21.081395735898674</v>
      </c>
      <c r="J384">
        <v>2.4904506608631034E-2</v>
      </c>
      <c r="K384">
        <v>7.2613099844856173</v>
      </c>
      <c r="L384">
        <v>1.468404808113692</v>
      </c>
      <c r="M384">
        <v>0.36947200126324931</v>
      </c>
      <c r="N384">
        <v>0.21684931699959123</v>
      </c>
      <c r="O384">
        <v>17.536094872223149</v>
      </c>
      <c r="P384" s="3">
        <v>43.691032644277591</v>
      </c>
      <c r="Q384" s="3">
        <v>4.1015124659364357</v>
      </c>
    </row>
    <row r="385" spans="1:17" x14ac:dyDescent="0.3">
      <c r="A385" s="18">
        <v>15598</v>
      </c>
      <c r="B385" s="15" t="s">
        <v>160</v>
      </c>
      <c r="C385" s="15" t="s">
        <v>158</v>
      </c>
      <c r="D385" s="24">
        <v>1</v>
      </c>
      <c r="E385" s="1" t="s">
        <v>162</v>
      </c>
      <c r="F385">
        <v>0.17804740315268072</v>
      </c>
      <c r="G385">
        <v>6.2414834755855493</v>
      </c>
      <c r="H385">
        <v>4.1917486097625556</v>
      </c>
      <c r="I385">
        <v>20.894421050879618</v>
      </c>
      <c r="J385">
        <v>2.4904506608631034E-2</v>
      </c>
      <c r="K385">
        <v>6.9039620521782545</v>
      </c>
      <c r="L385">
        <v>1.4863852751518187</v>
      </c>
      <c r="M385">
        <v>0.45157689043286031</v>
      </c>
      <c r="N385">
        <v>0.24782779085667567</v>
      </c>
      <c r="O385">
        <v>18.204580758309671</v>
      </c>
      <c r="P385" s="3">
        <v>44.064187350476011</v>
      </c>
      <c r="Q385" s="3">
        <v>5.2943952967786867</v>
      </c>
    </row>
    <row r="386" spans="1:17" x14ac:dyDescent="0.3">
      <c r="A386" s="18">
        <v>15605</v>
      </c>
      <c r="B386" s="15" t="s">
        <v>160</v>
      </c>
      <c r="C386" s="15" t="s">
        <v>158</v>
      </c>
      <c r="D386" s="24">
        <v>1</v>
      </c>
      <c r="E386" s="1" t="s">
        <v>162</v>
      </c>
      <c r="F386">
        <v>0.16321011955662401</v>
      </c>
      <c r="G386">
        <v>6.4525481341802298</v>
      </c>
      <c r="H386">
        <v>4.0911889840233027</v>
      </c>
      <c r="I386">
        <v>21.081395735898674</v>
      </c>
      <c r="J386">
        <v>2.4904506608631034E-2</v>
      </c>
      <c r="K386">
        <v>7.0040194732243162</v>
      </c>
      <c r="L386">
        <v>1.360522005884931</v>
      </c>
      <c r="M386">
        <v>0.41052444584805475</v>
      </c>
      <c r="N386">
        <v>0.25557240932094677</v>
      </c>
      <c r="O386">
        <v>17.699329797895441</v>
      </c>
      <c r="P386" s="3">
        <v>45.582702553776656</v>
      </c>
      <c r="Q386" s="3">
        <v>4.9493566033009442</v>
      </c>
    </row>
    <row r="387" spans="1:17" x14ac:dyDescent="0.3">
      <c r="A387" s="18">
        <v>15605</v>
      </c>
      <c r="B387" s="15" t="s">
        <v>160</v>
      </c>
      <c r="C387" s="15" t="s">
        <v>158</v>
      </c>
      <c r="D387" s="24">
        <v>1</v>
      </c>
      <c r="E387" s="1" t="s">
        <v>162</v>
      </c>
      <c r="F387">
        <v>0.18546604495070909</v>
      </c>
      <c r="G387">
        <v>6.1630880309646683</v>
      </c>
      <c r="H387">
        <v>4.5251831582663957</v>
      </c>
      <c r="I387">
        <v>20.987908393389144</v>
      </c>
      <c r="J387">
        <v>3.3206008811508043E-2</v>
      </c>
      <c r="K387">
        <v>7.1826934393779984</v>
      </c>
      <c r="L387">
        <v>1.360522005884931</v>
      </c>
      <c r="M387">
        <v>0.43789274223792513</v>
      </c>
      <c r="N387">
        <v>0.23233855392813343</v>
      </c>
      <c r="O387">
        <v>17.279582846166694</v>
      </c>
      <c r="P387" s="3">
        <v>45.040121368889132</v>
      </c>
      <c r="Q387" s="3">
        <v>4.781426233468177</v>
      </c>
    </row>
    <row r="388" spans="1:17" x14ac:dyDescent="0.3">
      <c r="A388" s="18">
        <v>15607</v>
      </c>
      <c r="B388" s="15" t="s">
        <v>160</v>
      </c>
      <c r="C388" s="15" t="s">
        <v>158</v>
      </c>
      <c r="D388" s="24">
        <v>1</v>
      </c>
      <c r="E388" s="1" t="s">
        <v>162</v>
      </c>
      <c r="F388">
        <v>0.24481517933493602</v>
      </c>
      <c r="G388">
        <v>5.8495062524811425</v>
      </c>
      <c r="H388">
        <v>4.6574984552917291</v>
      </c>
      <c r="I388">
        <v>20.847677379624855</v>
      </c>
      <c r="J388">
        <v>1.6603004405754022E-2</v>
      </c>
      <c r="K388">
        <v>7.0040194732243162</v>
      </c>
      <c r="L388">
        <v>1.5463201652789083</v>
      </c>
      <c r="M388">
        <v>0.30105126028857349</v>
      </c>
      <c r="N388">
        <v>0.18587084314250674</v>
      </c>
      <c r="O388">
        <v>17.33399448805746</v>
      </c>
      <c r="P388" s="3">
        <v>43.67372620586012</v>
      </c>
      <c r="Q388" s="3">
        <v>3.2453661839088577</v>
      </c>
    </row>
    <row r="389" spans="1:17" x14ac:dyDescent="0.3">
      <c r="A389" s="18">
        <v>15607</v>
      </c>
      <c r="B389" s="15" t="s">
        <v>160</v>
      </c>
      <c r="C389" s="15" t="s">
        <v>158</v>
      </c>
      <c r="D389" s="24">
        <v>1</v>
      </c>
      <c r="E389" s="1" t="s">
        <v>162</v>
      </c>
      <c r="F389">
        <v>0.2596524629309927</v>
      </c>
      <c r="G389">
        <v>6.0062971417229063</v>
      </c>
      <c r="H389">
        <v>4.5251831582663957</v>
      </c>
      <c r="I389">
        <v>21.291742256545113</v>
      </c>
      <c r="J389">
        <v>4.150751101438506E-2</v>
      </c>
      <c r="K389">
        <v>7.2184282326087335</v>
      </c>
      <c r="L389">
        <v>1.5043657421899455</v>
      </c>
      <c r="M389">
        <v>0.34210370487337899</v>
      </c>
      <c r="N389">
        <v>0.2245939354638623</v>
      </c>
      <c r="O389">
        <v>17.357313763153499</v>
      </c>
      <c r="P389" s="3">
        <v>44.292297995803992</v>
      </c>
      <c r="Q389" s="3">
        <v>3.7749730846984795</v>
      </c>
    </row>
    <row r="390" spans="1:17" x14ac:dyDescent="0.3">
      <c r="A390" s="18">
        <v>15607</v>
      </c>
      <c r="B390" s="15" t="s">
        <v>160</v>
      </c>
      <c r="C390" s="15" t="s">
        <v>158</v>
      </c>
      <c r="D390" s="24">
        <v>1</v>
      </c>
      <c r="E390" s="1" t="s">
        <v>162</v>
      </c>
      <c r="F390">
        <v>0.2596524629309927</v>
      </c>
      <c r="G390">
        <v>6.0062971417229063</v>
      </c>
      <c r="H390">
        <v>4.5251831582663957</v>
      </c>
      <c r="I390">
        <v>21.291742256545113</v>
      </c>
      <c r="J390">
        <v>4.150751101438506E-2</v>
      </c>
      <c r="K390">
        <v>7.2184282326087335</v>
      </c>
      <c r="L390">
        <v>1.5043657421899455</v>
      </c>
      <c r="M390">
        <v>0.34210370487337899</v>
      </c>
      <c r="N390">
        <v>0.2245939354638623</v>
      </c>
      <c r="O390">
        <v>17.357313763153499</v>
      </c>
      <c r="P390" s="3">
        <v>44.292297995803992</v>
      </c>
      <c r="Q390" s="3">
        <v>3.7749730846984795</v>
      </c>
    </row>
    <row r="391" spans="1:17" x14ac:dyDescent="0.3">
      <c r="A391" s="18">
        <v>15610</v>
      </c>
      <c r="B391" s="15" t="s">
        <v>160</v>
      </c>
      <c r="C391" s="15" t="s">
        <v>158</v>
      </c>
      <c r="D391" s="24">
        <v>1</v>
      </c>
      <c r="E391" s="1" t="s">
        <v>162</v>
      </c>
      <c r="F391">
        <v>0.2077219703447942</v>
      </c>
      <c r="G391">
        <v>6.4525481341802298</v>
      </c>
      <c r="H391">
        <v>4.1282372671903955</v>
      </c>
      <c r="I391">
        <v>20.941164722134381</v>
      </c>
      <c r="J391">
        <v>4.9809013217262069E-2</v>
      </c>
      <c r="K391">
        <v>6.8610803003013707</v>
      </c>
      <c r="L391">
        <v>1.7141378576347588</v>
      </c>
      <c r="M391">
        <v>0.34210370487337899</v>
      </c>
      <c r="N391">
        <v>0.19361546160677787</v>
      </c>
      <c r="O391">
        <v>17.800379989978286</v>
      </c>
      <c r="P391" s="3">
        <v>45.441523529927778</v>
      </c>
      <c r="Q391" s="3">
        <v>4.1229857273144797</v>
      </c>
    </row>
    <row r="392" spans="1:17" x14ac:dyDescent="0.3">
      <c r="A392" s="18">
        <v>15613</v>
      </c>
      <c r="B392" s="15" t="s">
        <v>160</v>
      </c>
      <c r="C392" s="15" t="s">
        <v>158</v>
      </c>
      <c r="D392" s="24">
        <v>1</v>
      </c>
      <c r="E392" s="1" t="s">
        <v>162</v>
      </c>
      <c r="F392">
        <v>0.25223382113296439</v>
      </c>
      <c r="G392">
        <v>6.2716355696705044</v>
      </c>
      <c r="H392">
        <v>5.0809074057727948</v>
      </c>
      <c r="I392">
        <v>20.613959023351033</v>
      </c>
      <c r="J392">
        <v>3.3206008811508043E-2</v>
      </c>
      <c r="K392">
        <v>6.7181411273784262</v>
      </c>
      <c r="L392">
        <v>1.59426807738058</v>
      </c>
      <c r="M392">
        <v>0.30105126028857349</v>
      </c>
      <c r="N392">
        <v>0.18587084314250674</v>
      </c>
      <c r="O392">
        <v>17.800379989978286</v>
      </c>
      <c r="P392" s="3">
        <v>44.737444639345028</v>
      </c>
      <c r="Q392" s="3">
        <v>2.982986404586875</v>
      </c>
    </row>
    <row r="393" spans="1:17" x14ac:dyDescent="0.3">
      <c r="A393" s="18">
        <v>15615</v>
      </c>
      <c r="B393" s="15" t="s">
        <v>160</v>
      </c>
      <c r="C393" s="15" t="s">
        <v>158</v>
      </c>
      <c r="D393" s="24">
        <v>1</v>
      </c>
      <c r="E393" s="1" t="s">
        <v>162</v>
      </c>
      <c r="F393">
        <v>0.23739653753690765</v>
      </c>
      <c r="G393">
        <v>6.8143732631996823</v>
      </c>
      <c r="H393">
        <v>4.8692029305322615</v>
      </c>
      <c r="I393">
        <v>20.47372800958674</v>
      </c>
      <c r="J393">
        <v>2.4904506608631034E-2</v>
      </c>
      <c r="K393">
        <v>6.4322627815325353</v>
      </c>
      <c r="L393">
        <v>1.4204568960120205</v>
      </c>
      <c r="M393">
        <v>0.34210370487337899</v>
      </c>
      <c r="N393">
        <v>0.201360080071049</v>
      </c>
      <c r="O393">
        <v>18.189034574912309</v>
      </c>
      <c r="P393" s="3">
        <v>46.259826771212047</v>
      </c>
      <c r="Q393" s="3">
        <v>3.5176449425586913</v>
      </c>
    </row>
    <row r="394" spans="1:17" x14ac:dyDescent="0.3">
      <c r="A394" s="18">
        <v>15617</v>
      </c>
      <c r="B394" s="15" t="s">
        <v>160</v>
      </c>
      <c r="C394" s="15" t="s">
        <v>158</v>
      </c>
      <c r="D394" s="24">
        <v>1</v>
      </c>
      <c r="E394" s="1" t="s">
        <v>162</v>
      </c>
      <c r="F394">
        <v>0.2077219703447942</v>
      </c>
      <c r="G394">
        <v>7.1158942040492255</v>
      </c>
      <c r="H394">
        <v>4.2340895048106626</v>
      </c>
      <c r="I394">
        <v>21.361857763427263</v>
      </c>
      <c r="J394">
        <v>8.3015022028770109E-3</v>
      </c>
      <c r="K394">
        <v>6.5752019544554798</v>
      </c>
      <c r="L394">
        <v>1.2166782695799161</v>
      </c>
      <c r="M394">
        <v>0.28736711209363835</v>
      </c>
      <c r="N394">
        <v>0.19361546160677787</v>
      </c>
      <c r="O394">
        <v>17.567187239017873</v>
      </c>
      <c r="P394" s="3">
        <v>48.205671052050981</v>
      </c>
      <c r="Q394" s="3">
        <v>3.4021139403364145</v>
      </c>
    </row>
    <row r="395" spans="1:17" x14ac:dyDescent="0.3">
      <c r="A395" s="18">
        <v>15620</v>
      </c>
      <c r="B395" s="15" t="s">
        <v>160</v>
      </c>
      <c r="C395" s="15" t="s">
        <v>158</v>
      </c>
      <c r="D395" s="24">
        <v>1</v>
      </c>
      <c r="E395" s="1" t="s">
        <v>162</v>
      </c>
      <c r="F395">
        <v>0.26707110472902107</v>
      </c>
      <c r="G395">
        <v>6.5731565105200476</v>
      </c>
      <c r="H395">
        <v>5.1338335245829283</v>
      </c>
      <c r="I395">
        <v>20.987908393389144</v>
      </c>
      <c r="J395">
        <v>3.3206008811508043E-2</v>
      </c>
      <c r="K395">
        <v>6.8610803003013707</v>
      </c>
      <c r="L395">
        <v>1.576287610342453</v>
      </c>
      <c r="M395">
        <v>0.27368296389870322</v>
      </c>
      <c r="N395">
        <v>0.21684931699959123</v>
      </c>
      <c r="O395">
        <v>17.023070820110238</v>
      </c>
      <c r="P395" s="3">
        <v>47.01162930587963</v>
      </c>
      <c r="Q395" s="3">
        <v>2.6919015440594243</v>
      </c>
    </row>
    <row r="396" spans="1:17" x14ac:dyDescent="0.3">
      <c r="A396" s="18">
        <v>15622</v>
      </c>
      <c r="B396" s="15" t="s">
        <v>160</v>
      </c>
      <c r="C396" s="15" t="s">
        <v>158</v>
      </c>
      <c r="D396" s="24">
        <v>1</v>
      </c>
      <c r="E396" s="1" t="s">
        <v>162</v>
      </c>
      <c r="F396">
        <v>0.21514061214282254</v>
      </c>
      <c r="G396">
        <v>7.0194075029773719</v>
      </c>
      <c r="H396">
        <v>4.4775496513372763</v>
      </c>
      <c r="I396">
        <v>20.557866617845313</v>
      </c>
      <c r="J396">
        <v>4.150751101438506E-2</v>
      </c>
      <c r="K396">
        <v>6.5680549958093328</v>
      </c>
      <c r="L396">
        <v>1.3725089839103488</v>
      </c>
      <c r="M396">
        <v>0.55420800189487396</v>
      </c>
      <c r="N396">
        <v>0.24008317239240456</v>
      </c>
      <c r="O396">
        <v>17.668237431100717</v>
      </c>
      <c r="P396" s="3">
        <v>47.721783239341214</v>
      </c>
      <c r="Q396" s="3">
        <v>6.0353320357010016</v>
      </c>
    </row>
    <row r="397" spans="1:17" x14ac:dyDescent="0.3">
      <c r="A397" s="18">
        <v>15623</v>
      </c>
      <c r="B397" s="15" t="s">
        <v>160</v>
      </c>
      <c r="C397" s="15" t="s">
        <v>158</v>
      </c>
      <c r="D397" s="24">
        <v>1</v>
      </c>
      <c r="E397" s="1" t="s">
        <v>162</v>
      </c>
      <c r="F397">
        <v>0.22255925394085091</v>
      </c>
      <c r="G397">
        <v>6.8746774513695907</v>
      </c>
      <c r="H397">
        <v>4.551646217671462</v>
      </c>
      <c r="I397">
        <v>21.081395735898674</v>
      </c>
      <c r="J397">
        <v>1.6603004405754022E-2</v>
      </c>
      <c r="K397">
        <v>6.789610713839898</v>
      </c>
      <c r="L397">
        <v>0.87504939585550623</v>
      </c>
      <c r="M397">
        <v>0.41052444584805475</v>
      </c>
      <c r="N397">
        <v>0.17038160621396453</v>
      </c>
      <c r="O397">
        <v>17.955841823951896</v>
      </c>
      <c r="P397" s="3">
        <v>46.800057598551803</v>
      </c>
      <c r="Q397" s="3">
        <v>4.4710520199783375</v>
      </c>
    </row>
    <row r="398" spans="1:17" x14ac:dyDescent="0.3">
      <c r="A398" s="18">
        <v>15633</v>
      </c>
      <c r="B398" s="15" t="s">
        <v>160</v>
      </c>
      <c r="C398" s="15" t="s">
        <v>158</v>
      </c>
      <c r="D398" s="24">
        <v>1</v>
      </c>
      <c r="E398" s="1" t="s">
        <v>162</v>
      </c>
      <c r="F398">
        <v>0.20030332854676583</v>
      </c>
      <c r="G398">
        <v>7.6586318975784033</v>
      </c>
      <c r="H398">
        <v>4.4987200988613294</v>
      </c>
      <c r="I398">
        <v>21.689063462210608</v>
      </c>
      <c r="J398">
        <v>1.6603004405754022E-2</v>
      </c>
      <c r="K398">
        <v>6.1463844356866444</v>
      </c>
      <c r="L398">
        <v>0.76716659362674522</v>
      </c>
      <c r="M398">
        <v>0.32157748258097624</v>
      </c>
      <c r="N398">
        <v>0.21684931699959123</v>
      </c>
      <c r="O398">
        <v>17.256263571070651</v>
      </c>
      <c r="P398" s="3">
        <v>50.488886586944126</v>
      </c>
      <c r="Q398" s="3">
        <v>3.5767026752393174</v>
      </c>
    </row>
    <row r="399" spans="1:17" x14ac:dyDescent="0.3">
      <c r="A399" s="18">
        <v>15636</v>
      </c>
      <c r="B399" s="15" t="s">
        <v>160</v>
      </c>
      <c r="C399" s="15" t="s">
        <v>158</v>
      </c>
      <c r="D399" s="24">
        <v>1</v>
      </c>
      <c r="E399" s="1" t="s">
        <v>162</v>
      </c>
      <c r="F399">
        <v>0.19288468674873746</v>
      </c>
      <c r="G399">
        <v>6.826434100833664</v>
      </c>
      <c r="H399">
        <v>4.5251831582663957</v>
      </c>
      <c r="I399">
        <v>20.838328645373899</v>
      </c>
      <c r="J399">
        <v>3.3206008811508043E-2</v>
      </c>
      <c r="K399">
        <v>6.8467863830090758</v>
      </c>
      <c r="L399">
        <v>1.3305545608213862</v>
      </c>
      <c r="M399">
        <v>0.38315614945818449</v>
      </c>
      <c r="N399">
        <v>0.24008317239240456</v>
      </c>
      <c r="O399">
        <v>17.621598880908635</v>
      </c>
      <c r="P399" s="3">
        <v>47.092658050151499</v>
      </c>
      <c r="Q399" s="3">
        <v>4.2089036572357141</v>
      </c>
    </row>
    <row r="400" spans="1:17" x14ac:dyDescent="0.3">
      <c r="A400" s="18">
        <v>15636</v>
      </c>
      <c r="B400" s="15" t="s">
        <v>160</v>
      </c>
      <c r="C400" s="15" t="s">
        <v>158</v>
      </c>
      <c r="D400" s="24">
        <v>1</v>
      </c>
      <c r="E400" s="1" t="s">
        <v>162</v>
      </c>
      <c r="F400">
        <v>0.12611691056648219</v>
      </c>
      <c r="G400">
        <v>6.6817040492258828</v>
      </c>
      <c r="H400">
        <v>3.56192779592197</v>
      </c>
      <c r="I400">
        <v>21.174883078408204</v>
      </c>
      <c r="J400">
        <v>2.4904506608631034E-2</v>
      </c>
      <c r="K400">
        <v>6.7538759206091612</v>
      </c>
      <c r="L400">
        <v>1.3545285168722219</v>
      </c>
      <c r="M400">
        <v>0.40368237175058719</v>
      </c>
      <c r="N400">
        <v>0.24782779085667567</v>
      </c>
      <c r="O400">
        <v>18.647646985134458</v>
      </c>
      <c r="P400" s="3">
        <v>45.154034051418925</v>
      </c>
      <c r="Q400" s="3">
        <v>5.554441718544572</v>
      </c>
    </row>
    <row r="401" spans="1:17" x14ac:dyDescent="0.3">
      <c r="A401" s="18">
        <v>15636</v>
      </c>
      <c r="B401" s="15" t="s">
        <v>160</v>
      </c>
      <c r="C401" s="15" t="s">
        <v>158</v>
      </c>
      <c r="D401" s="24">
        <v>1</v>
      </c>
      <c r="E401" s="1" t="s">
        <v>162</v>
      </c>
      <c r="F401">
        <v>0.11869826876845382</v>
      </c>
      <c r="G401">
        <v>6.2475138944025401</v>
      </c>
      <c r="H401">
        <v>2.6515985523876773</v>
      </c>
      <c r="I401">
        <v>19.772572940765276</v>
      </c>
      <c r="J401">
        <v>4.150751101438506E-2</v>
      </c>
      <c r="K401">
        <v>6.1035026838097606</v>
      </c>
      <c r="L401">
        <v>2.1576560445752211</v>
      </c>
      <c r="M401">
        <v>0.40368237175058719</v>
      </c>
      <c r="N401">
        <v>0.26331702778521793</v>
      </c>
      <c r="O401">
        <v>22.363184817103726</v>
      </c>
      <c r="P401" s="3">
        <v>39.094669815150134</v>
      </c>
      <c r="Q401" s="3">
        <v>7.3217366119801977</v>
      </c>
    </row>
    <row r="402" spans="1:17" x14ac:dyDescent="0.3">
      <c r="A402" s="18">
        <v>15636</v>
      </c>
      <c r="B402" s="15" t="s">
        <v>160</v>
      </c>
      <c r="C402" s="15" t="s">
        <v>158</v>
      </c>
      <c r="D402" s="24">
        <v>1</v>
      </c>
      <c r="E402" s="1" t="s">
        <v>162</v>
      </c>
      <c r="F402">
        <v>0.17062876135465238</v>
      </c>
      <c r="G402">
        <v>6.9952858277094077</v>
      </c>
      <c r="H402">
        <v>4.8374472592461819</v>
      </c>
      <c r="I402">
        <v>20.941164722134381</v>
      </c>
      <c r="J402">
        <v>2.4904506608631034E-2</v>
      </c>
      <c r="K402">
        <v>6.8825211762398126</v>
      </c>
      <c r="L402">
        <v>1.1567433794528268</v>
      </c>
      <c r="M402">
        <v>0.41736651994552237</v>
      </c>
      <c r="N402">
        <v>0.2091046985353201</v>
      </c>
      <c r="O402">
        <v>16.494500584599965</v>
      </c>
      <c r="P402" s="3">
        <v>49.35271983875699</v>
      </c>
      <c r="Q402" s="3">
        <v>4.2853281397503382</v>
      </c>
    </row>
    <row r="403" spans="1:17" x14ac:dyDescent="0.3">
      <c r="A403" s="18">
        <v>15641</v>
      </c>
      <c r="B403" s="15" t="s">
        <v>160</v>
      </c>
      <c r="C403" s="15" t="s">
        <v>158</v>
      </c>
      <c r="D403" s="24">
        <v>1</v>
      </c>
      <c r="E403" s="1" t="s">
        <v>162</v>
      </c>
      <c r="F403">
        <v>0.27448974652704944</v>
      </c>
      <c r="G403">
        <v>6.1510271933306857</v>
      </c>
      <c r="H403">
        <v>5.3455379998234616</v>
      </c>
      <c r="I403">
        <v>20.754190037115325</v>
      </c>
      <c r="J403">
        <v>4.9809013217262069E-2</v>
      </c>
      <c r="K403">
        <v>6.9325498867628426</v>
      </c>
      <c r="L403">
        <v>1.3065806047705506</v>
      </c>
      <c r="M403">
        <v>0.30105126028857349</v>
      </c>
      <c r="N403">
        <v>0.18587084314250674</v>
      </c>
      <c r="O403">
        <v>16.556685318189412</v>
      </c>
      <c r="P403" s="3">
        <v>46.051415083668275</v>
      </c>
      <c r="Q403" s="3">
        <v>2.839506983928509</v>
      </c>
    </row>
    <row r="404" spans="1:17" x14ac:dyDescent="0.3">
      <c r="A404" s="18">
        <v>15643</v>
      </c>
      <c r="B404" s="15" t="s">
        <v>160</v>
      </c>
      <c r="C404" s="15" t="s">
        <v>158</v>
      </c>
      <c r="D404" s="24">
        <v>1</v>
      </c>
      <c r="E404" s="1" t="s">
        <v>162</v>
      </c>
      <c r="F404">
        <v>0.18546604495070909</v>
      </c>
      <c r="G404">
        <v>7.5380235212385864</v>
      </c>
      <c r="H404">
        <v>3.8106805543295965</v>
      </c>
      <c r="I404">
        <v>21.221626749662967</v>
      </c>
      <c r="J404">
        <v>2.4904506608631034E-2</v>
      </c>
      <c r="K404">
        <v>6.1463844356866444</v>
      </c>
      <c r="L404">
        <v>1.1207824453765731</v>
      </c>
      <c r="M404">
        <v>0.31473540848350867</v>
      </c>
      <c r="N404">
        <v>0.2091046985353201</v>
      </c>
      <c r="O404">
        <v>18.422227325872722</v>
      </c>
      <c r="P404" s="3">
        <v>48.457988615488809</v>
      </c>
      <c r="Q404" s="3">
        <v>4.1098072641131633</v>
      </c>
    </row>
    <row r="405" spans="1:17" x14ac:dyDescent="0.3">
      <c r="A405" s="18">
        <v>15643</v>
      </c>
      <c r="B405" s="15" t="s">
        <v>160</v>
      </c>
      <c r="C405" s="15" t="s">
        <v>158</v>
      </c>
      <c r="D405" s="24">
        <v>1</v>
      </c>
      <c r="E405" s="1" t="s">
        <v>162</v>
      </c>
      <c r="F405">
        <v>0.20030332854676583</v>
      </c>
      <c r="G405">
        <v>7.3571109567288602</v>
      </c>
      <c r="H405">
        <v>4.8056915879601023</v>
      </c>
      <c r="I405">
        <v>20.941164722134381</v>
      </c>
      <c r="J405">
        <v>4.150751101438506E-2</v>
      </c>
      <c r="K405">
        <v>6.775316796547604</v>
      </c>
      <c r="L405">
        <v>1.2046912915544983</v>
      </c>
      <c r="M405">
        <v>0.33526163077591142</v>
      </c>
      <c r="N405">
        <v>0.21684931699959123</v>
      </c>
      <c r="O405">
        <v>16.541139134792051</v>
      </c>
      <c r="P405" s="3">
        <v>50.542845404319785</v>
      </c>
      <c r="Q405" s="3">
        <v>3.4937172007004289</v>
      </c>
    </row>
    <row r="406" spans="1:17" x14ac:dyDescent="0.3">
      <c r="A406" s="18">
        <v>15643</v>
      </c>
      <c r="B406" s="15" t="s">
        <v>160</v>
      </c>
      <c r="C406" s="15" t="s">
        <v>158</v>
      </c>
      <c r="D406" s="24">
        <v>1</v>
      </c>
      <c r="E406" s="1" t="s">
        <v>162</v>
      </c>
      <c r="F406">
        <v>0.20030332854676583</v>
      </c>
      <c r="G406">
        <v>7.3571109567288602</v>
      </c>
      <c r="H406">
        <v>4.8056915879601023</v>
      </c>
      <c r="I406">
        <v>20.941164722134381</v>
      </c>
      <c r="J406">
        <v>4.150751101438506E-2</v>
      </c>
      <c r="K406">
        <v>6.775316796547604</v>
      </c>
      <c r="L406">
        <v>1.2046912915544983</v>
      </c>
      <c r="M406">
        <v>0.33526163077591142</v>
      </c>
      <c r="N406">
        <v>0.21684931699959123</v>
      </c>
      <c r="O406">
        <v>16.541139134792051</v>
      </c>
      <c r="P406" s="3">
        <v>50.542845404319785</v>
      </c>
      <c r="Q406" s="3">
        <v>3.4937172007004289</v>
      </c>
    </row>
    <row r="407" spans="1:17" x14ac:dyDescent="0.3">
      <c r="A407" s="18">
        <v>15658</v>
      </c>
      <c r="B407" s="15" t="s">
        <v>160</v>
      </c>
      <c r="C407" s="15" t="s">
        <v>158</v>
      </c>
      <c r="D407" s="24">
        <v>1</v>
      </c>
      <c r="E407" s="1" t="s">
        <v>162</v>
      </c>
      <c r="F407">
        <v>0.2077219703447942</v>
      </c>
      <c r="G407">
        <v>5.867597508932116</v>
      </c>
      <c r="H407">
        <v>4.7739359166740218</v>
      </c>
      <c r="I407">
        <v>21.0767213687732</v>
      </c>
      <c r="J407">
        <v>3.3206008811508043E-2</v>
      </c>
      <c r="K407">
        <v>7.2255751912548805</v>
      </c>
      <c r="L407">
        <v>1.4983722531772368</v>
      </c>
      <c r="M407">
        <v>0.36262992716578174</v>
      </c>
      <c r="N407">
        <v>0.24008317239240456</v>
      </c>
      <c r="O407">
        <v>17.559414147319192</v>
      </c>
      <c r="P407" s="3">
        <v>43.431997679193543</v>
      </c>
      <c r="Q407" s="3">
        <v>3.7922866165479316</v>
      </c>
    </row>
    <row r="408" spans="1:17" x14ac:dyDescent="0.3">
      <c r="A408" s="18">
        <v>15659</v>
      </c>
      <c r="B408" s="15" t="s">
        <v>160</v>
      </c>
      <c r="C408" s="15" t="s">
        <v>158</v>
      </c>
      <c r="D408" s="24">
        <v>1</v>
      </c>
      <c r="E408" s="1" t="s">
        <v>162</v>
      </c>
      <c r="F408">
        <v>0.20030332854676583</v>
      </c>
      <c r="G408">
        <v>7.3993238884477961</v>
      </c>
      <c r="H408">
        <v>4.324063906787889</v>
      </c>
      <c r="I408">
        <v>21.188906179784631</v>
      </c>
      <c r="J408">
        <v>4.9809013217262069E-2</v>
      </c>
      <c r="K408">
        <v>6.4179688642402413</v>
      </c>
      <c r="L408">
        <v>1.348535027859513</v>
      </c>
      <c r="M408">
        <v>0.34210370487337899</v>
      </c>
      <c r="N408">
        <v>0.201360080071049</v>
      </c>
      <c r="O408">
        <v>17.232944295974612</v>
      </c>
      <c r="P408" s="3">
        <v>49.661595597629635</v>
      </c>
      <c r="Q408" s="3">
        <v>3.9436289987187818</v>
      </c>
    </row>
    <row r="409" spans="1:17" x14ac:dyDescent="0.3">
      <c r="A409" s="18">
        <v>15659</v>
      </c>
      <c r="B409" s="15" t="s">
        <v>160</v>
      </c>
      <c r="C409" s="15" t="s">
        <v>158</v>
      </c>
      <c r="D409" s="24">
        <v>1</v>
      </c>
      <c r="E409" s="1" t="s">
        <v>162</v>
      </c>
      <c r="F409">
        <v>0.20030332854676583</v>
      </c>
      <c r="G409">
        <v>7.3993238884477961</v>
      </c>
      <c r="H409">
        <v>4.324063906787889</v>
      </c>
      <c r="I409">
        <v>21.188906179784631</v>
      </c>
      <c r="J409">
        <v>4.9809013217262069E-2</v>
      </c>
      <c r="K409">
        <v>6.4179688642402413</v>
      </c>
      <c r="L409">
        <v>1.348535027859513</v>
      </c>
      <c r="M409">
        <v>0.34210370487337899</v>
      </c>
      <c r="N409">
        <v>0.201360080071049</v>
      </c>
      <c r="O409">
        <v>17.232944295974612</v>
      </c>
      <c r="P409" s="3">
        <v>49.661595597629635</v>
      </c>
      <c r="Q409" s="3">
        <v>3.9436289987187818</v>
      </c>
    </row>
    <row r="410" spans="1:17" x14ac:dyDescent="0.3">
      <c r="A410" s="18">
        <v>15663</v>
      </c>
      <c r="B410" s="15" t="s">
        <v>160</v>
      </c>
      <c r="C410" s="15" t="s">
        <v>158</v>
      </c>
      <c r="D410" s="24">
        <v>1</v>
      </c>
      <c r="E410" s="1" t="s">
        <v>162</v>
      </c>
      <c r="F410">
        <v>0.27448974652704944</v>
      </c>
      <c r="G410">
        <v>6.2113313815005959</v>
      </c>
      <c r="H410">
        <v>4.4457939800511959</v>
      </c>
      <c r="I410">
        <v>20.800933708370088</v>
      </c>
      <c r="J410">
        <v>6.6412017623016087E-2</v>
      </c>
      <c r="K410">
        <v>7.2184282326087335</v>
      </c>
      <c r="L410">
        <v>1.7321183246728857</v>
      </c>
      <c r="M410">
        <v>0.40368237175058719</v>
      </c>
      <c r="N410">
        <v>0.201360080071049</v>
      </c>
      <c r="O410">
        <v>17.256263571070651</v>
      </c>
      <c r="P410" s="3">
        <v>45.266665932605882</v>
      </c>
      <c r="Q410" s="3">
        <v>4.4998566384348608</v>
      </c>
    </row>
    <row r="411" spans="1:17" x14ac:dyDescent="0.3">
      <c r="A411" s="18">
        <v>15665</v>
      </c>
      <c r="B411" s="15" t="s">
        <v>160</v>
      </c>
      <c r="C411" s="15" t="s">
        <v>158</v>
      </c>
      <c r="D411" s="24">
        <v>1</v>
      </c>
      <c r="E411" s="1" t="s">
        <v>162</v>
      </c>
      <c r="F411">
        <v>0.28932703012310618</v>
      </c>
      <c r="G411">
        <v>4.643422489082969</v>
      </c>
      <c r="H411">
        <v>5.3984641186335942</v>
      </c>
      <c r="I411">
        <v>21.829294475974905</v>
      </c>
      <c r="J411">
        <v>4.9809013217262069E-2</v>
      </c>
      <c r="K411">
        <v>7.5757761649160962</v>
      </c>
      <c r="L411">
        <v>1.7620857697364303</v>
      </c>
      <c r="M411">
        <v>0.44473481633539269</v>
      </c>
      <c r="N411">
        <v>0.21684931699959123</v>
      </c>
      <c r="O411">
        <v>16.867608986136627</v>
      </c>
      <c r="P411" s="3">
        <v>38.744957611579693</v>
      </c>
      <c r="Q411" s="3">
        <v>4.099727171072173</v>
      </c>
    </row>
    <row r="412" spans="1:17" x14ac:dyDescent="0.3">
      <c r="A412" s="18">
        <v>15666</v>
      </c>
      <c r="B412" s="15" t="s">
        <v>160</v>
      </c>
      <c r="C412" s="15" t="s">
        <v>158</v>
      </c>
      <c r="D412" s="24">
        <v>1</v>
      </c>
      <c r="E412" s="1" t="s">
        <v>162</v>
      </c>
      <c r="F412">
        <v>0.27448974652704944</v>
      </c>
      <c r="G412">
        <v>5.7288978761413256</v>
      </c>
      <c r="H412">
        <v>4.8692029305322615</v>
      </c>
      <c r="I412">
        <v>21.922781818484431</v>
      </c>
      <c r="J412">
        <v>1.6603004405754022E-2</v>
      </c>
      <c r="K412">
        <v>6.9325498867628426</v>
      </c>
      <c r="L412">
        <v>1.1807173355036624</v>
      </c>
      <c r="M412">
        <v>0.30105126028857349</v>
      </c>
      <c r="N412">
        <v>0.19361546160677787</v>
      </c>
      <c r="O412">
        <v>16.556685318189412</v>
      </c>
      <c r="P412" s="3">
        <v>44.290785968426079</v>
      </c>
      <c r="Q412" s="3">
        <v>3.1086497005283484</v>
      </c>
    </row>
    <row r="413" spans="1:17" x14ac:dyDescent="0.3">
      <c r="A413" s="18">
        <v>15668</v>
      </c>
      <c r="B413" s="15" t="s">
        <v>160</v>
      </c>
      <c r="C413" s="15" t="s">
        <v>158</v>
      </c>
      <c r="D413" s="24">
        <v>1</v>
      </c>
      <c r="E413" s="1" t="s">
        <v>162</v>
      </c>
      <c r="F413">
        <v>0.2077219703447942</v>
      </c>
      <c r="G413">
        <v>6.0062971417229063</v>
      </c>
      <c r="H413">
        <v>4.6204501721246354</v>
      </c>
      <c r="I413">
        <v>21.039326431769386</v>
      </c>
      <c r="J413">
        <v>3.3206008811508043E-2</v>
      </c>
      <c r="K413">
        <v>7.2613099844856173</v>
      </c>
      <c r="L413">
        <v>1.5163527202153635</v>
      </c>
      <c r="M413">
        <v>0.36947200126324931</v>
      </c>
      <c r="N413">
        <v>0.24008317239240456</v>
      </c>
      <c r="O413">
        <v>17.551641055620511</v>
      </c>
      <c r="P413" s="3">
        <v>44.017765020362319</v>
      </c>
      <c r="Q413" s="3">
        <v>3.9842265875742666</v>
      </c>
    </row>
    <row r="414" spans="1:17" x14ac:dyDescent="0.3">
      <c r="A414" s="18">
        <v>15668</v>
      </c>
      <c r="B414" s="15" t="s">
        <v>160</v>
      </c>
      <c r="C414" s="15" t="s">
        <v>158</v>
      </c>
      <c r="D414" s="24">
        <v>1</v>
      </c>
      <c r="E414" s="1" t="s">
        <v>162</v>
      </c>
      <c r="F414">
        <v>0.19288468674873746</v>
      </c>
      <c r="G414">
        <v>5.5419548928146085</v>
      </c>
      <c r="H414">
        <v>4.8109841998411156</v>
      </c>
      <c r="I414">
        <v>21.259021686666777</v>
      </c>
      <c r="J414">
        <v>4.150751101438506E-2</v>
      </c>
      <c r="K414">
        <v>7.3113386950086481</v>
      </c>
      <c r="L414">
        <v>1.5343331872534904</v>
      </c>
      <c r="M414">
        <v>0.41736651994552715</v>
      </c>
      <c r="N414">
        <v>0.24008317239240456</v>
      </c>
      <c r="O414">
        <v>17.271809754468013</v>
      </c>
      <c r="P414" s="3">
        <v>42.43770624581839</v>
      </c>
      <c r="Q414" s="3">
        <v>4.307884361746912</v>
      </c>
    </row>
    <row r="415" spans="1:17" x14ac:dyDescent="0.3">
      <c r="A415" s="18">
        <v>15669</v>
      </c>
      <c r="B415" s="15" t="s">
        <v>160</v>
      </c>
      <c r="C415" s="15" t="s">
        <v>158</v>
      </c>
      <c r="D415" s="24">
        <v>1</v>
      </c>
      <c r="E415" s="1" t="s">
        <v>162</v>
      </c>
      <c r="F415">
        <v>0.22997789573887928</v>
      </c>
      <c r="G415">
        <v>6.0907230051607772</v>
      </c>
      <c r="H415">
        <v>4.2340895048106626</v>
      </c>
      <c r="I415">
        <v>20.707446365860559</v>
      </c>
      <c r="J415">
        <v>2.4904506608631034E-2</v>
      </c>
      <c r="K415">
        <v>6.7181411273784262</v>
      </c>
      <c r="L415">
        <v>1.8579815939397735</v>
      </c>
      <c r="M415">
        <v>0.24631466750883285</v>
      </c>
      <c r="N415">
        <v>0.21684931699959123</v>
      </c>
      <c r="O415">
        <v>18.888612827793555</v>
      </c>
      <c r="P415" s="3">
        <v>42.558326289392987</v>
      </c>
      <c r="Q415" s="3">
        <v>2.930339590532455</v>
      </c>
    </row>
    <row r="416" spans="1:17" x14ac:dyDescent="0.3">
      <c r="A416" s="18">
        <v>15672</v>
      </c>
      <c r="B416" s="15" t="s">
        <v>160</v>
      </c>
      <c r="C416" s="15" t="s">
        <v>158</v>
      </c>
      <c r="D416" s="24">
        <v>1</v>
      </c>
      <c r="E416" s="1" t="s">
        <v>162</v>
      </c>
      <c r="F416">
        <v>0.2077219703447942</v>
      </c>
      <c r="G416">
        <v>7.2244417427550616</v>
      </c>
      <c r="H416">
        <v>4.5622314414334886</v>
      </c>
      <c r="I416">
        <v>20.941164722134381</v>
      </c>
      <c r="J416">
        <v>4.9809013217262069E-2</v>
      </c>
      <c r="K416">
        <v>6.7467289619630142</v>
      </c>
      <c r="L416">
        <v>1.2945936267451326</v>
      </c>
      <c r="M416">
        <v>0.32157748258097624</v>
      </c>
      <c r="N416">
        <v>0.2091046985353201</v>
      </c>
      <c r="O416">
        <v>16.929793719726074</v>
      </c>
      <c r="P416" s="3">
        <v>49.507337377158748</v>
      </c>
      <c r="Q416" s="3">
        <v>3.5286679738924485</v>
      </c>
    </row>
    <row r="417" spans="1:17" x14ac:dyDescent="0.3">
      <c r="A417" s="18">
        <v>15672</v>
      </c>
      <c r="B417" s="15" t="s">
        <v>160</v>
      </c>
      <c r="C417" s="15" t="s">
        <v>158</v>
      </c>
      <c r="D417" s="24">
        <v>1</v>
      </c>
      <c r="E417" s="1" t="s">
        <v>162</v>
      </c>
      <c r="F417">
        <v>0.2077219703447942</v>
      </c>
      <c r="G417">
        <v>7.2244417427550616</v>
      </c>
      <c r="H417">
        <v>4.5622314414334886</v>
      </c>
      <c r="I417">
        <v>20.941164722134381</v>
      </c>
      <c r="J417">
        <v>4.9809013217262069E-2</v>
      </c>
      <c r="K417">
        <v>6.7467289619630142</v>
      </c>
      <c r="L417">
        <v>1.2945936267451326</v>
      </c>
      <c r="M417">
        <v>0.32157748258097624</v>
      </c>
      <c r="N417">
        <v>0.2091046985353201</v>
      </c>
      <c r="O417">
        <v>16.929793719726074</v>
      </c>
      <c r="P417" s="3">
        <v>49.507337377158748</v>
      </c>
      <c r="Q417" s="3">
        <v>3.5286679738924485</v>
      </c>
    </row>
    <row r="418" spans="1:17" x14ac:dyDescent="0.3">
      <c r="A418" s="18">
        <v>15672</v>
      </c>
      <c r="B418" s="15" t="s">
        <v>160</v>
      </c>
      <c r="C418" s="15" t="s">
        <v>158</v>
      </c>
      <c r="D418" s="24">
        <v>1</v>
      </c>
      <c r="E418" s="1" t="s">
        <v>162</v>
      </c>
      <c r="F418">
        <v>0.28190838832507781</v>
      </c>
      <c r="G418">
        <v>5.6082894998015087</v>
      </c>
      <c r="H418">
        <v>5.5043163562538613</v>
      </c>
      <c r="I418">
        <v>20.894421050879618</v>
      </c>
      <c r="J418">
        <v>2.4904506608631034E-2</v>
      </c>
      <c r="K418">
        <v>7.0754890596857889</v>
      </c>
      <c r="L418">
        <v>1.6482094784949604</v>
      </c>
      <c r="M418">
        <v>0.37631407536071693</v>
      </c>
      <c r="N418">
        <v>0.2091046985353201</v>
      </c>
      <c r="O418">
        <v>16.789878069149825</v>
      </c>
      <c r="P418" s="3">
        <v>43.422527203857555</v>
      </c>
      <c r="Q418" s="3">
        <v>3.4261839129357772</v>
      </c>
    </row>
    <row r="419" spans="1:17" x14ac:dyDescent="0.3">
      <c r="A419" s="18">
        <v>15674</v>
      </c>
      <c r="B419" s="15" t="s">
        <v>160</v>
      </c>
      <c r="C419" s="15" t="s">
        <v>158</v>
      </c>
      <c r="D419" s="24">
        <v>1</v>
      </c>
      <c r="E419" s="1" t="s">
        <v>162</v>
      </c>
      <c r="F419">
        <v>0.2077219703447942</v>
      </c>
      <c r="G419">
        <v>5.6444720127034529</v>
      </c>
      <c r="H419">
        <v>4.7368876335069281</v>
      </c>
      <c r="I419">
        <v>21.053349533145816</v>
      </c>
      <c r="J419">
        <v>4.150751101438506E-2</v>
      </c>
      <c r="K419">
        <v>7.2541630258394703</v>
      </c>
      <c r="L419">
        <v>1.5463201652789083</v>
      </c>
      <c r="M419">
        <v>0.32157748258097624</v>
      </c>
      <c r="N419">
        <v>0.24008317239240456</v>
      </c>
      <c r="O419">
        <v>17.707102889594122</v>
      </c>
      <c r="P419" s="3">
        <v>42.277517825894691</v>
      </c>
      <c r="Q419" s="3">
        <v>3.4029881995554656</v>
      </c>
    </row>
    <row r="420" spans="1:17" x14ac:dyDescent="0.3">
      <c r="A420" s="18">
        <v>15676</v>
      </c>
      <c r="B420" s="15" t="s">
        <v>160</v>
      </c>
      <c r="C420" s="15" t="s">
        <v>158</v>
      </c>
      <c r="D420" s="24">
        <v>1</v>
      </c>
      <c r="E420" s="1" t="s">
        <v>162</v>
      </c>
      <c r="F420">
        <v>0.22997789573887928</v>
      </c>
      <c r="G420">
        <v>5.5479853116315994</v>
      </c>
      <c r="H420">
        <v>4.7104245741018627</v>
      </c>
      <c r="I420">
        <v>20.660702694605799</v>
      </c>
      <c r="J420">
        <v>8.3015022028770109E-3</v>
      </c>
      <c r="K420">
        <v>6.789610713839898</v>
      </c>
      <c r="L420">
        <v>1.7980467038126839</v>
      </c>
      <c r="M420">
        <v>0.25315674160630047</v>
      </c>
      <c r="N420">
        <v>0.2091046985353201</v>
      </c>
      <c r="O420">
        <v>17.411725405044262</v>
      </c>
      <c r="P420" s="3">
        <v>42.267273335591121</v>
      </c>
      <c r="Q420" s="3">
        <v>2.7132349861823446</v>
      </c>
    </row>
    <row r="421" spans="1:17" x14ac:dyDescent="0.3">
      <c r="A421" s="18">
        <v>15676</v>
      </c>
      <c r="B421" s="15" t="s">
        <v>160</v>
      </c>
      <c r="C421" s="15" t="s">
        <v>158</v>
      </c>
      <c r="D421" s="24">
        <v>1</v>
      </c>
      <c r="E421" s="1" t="s">
        <v>162</v>
      </c>
      <c r="F421">
        <v>0.22997789573887928</v>
      </c>
      <c r="G421">
        <v>5.9218712782850336</v>
      </c>
      <c r="H421">
        <v>4.6363280077676752</v>
      </c>
      <c r="I421">
        <v>20.613959023351033</v>
      </c>
      <c r="J421">
        <v>4.9809013217262069E-2</v>
      </c>
      <c r="K421">
        <v>7.2184282326087335</v>
      </c>
      <c r="L421">
        <v>1.59426807738058</v>
      </c>
      <c r="M421">
        <v>0.32157748258097624</v>
      </c>
      <c r="N421">
        <v>0.21684931699959123</v>
      </c>
      <c r="O421">
        <v>17.901430182061134</v>
      </c>
      <c r="P421" s="3">
        <v>43.184434537064483</v>
      </c>
      <c r="Q421" s="3">
        <v>3.4742330040619054</v>
      </c>
    </row>
    <row r="422" spans="1:17" x14ac:dyDescent="0.3">
      <c r="A422" s="18">
        <v>15676</v>
      </c>
      <c r="B422" s="15" t="s">
        <v>160</v>
      </c>
      <c r="C422" s="15" t="s">
        <v>158</v>
      </c>
      <c r="D422" s="24">
        <v>1</v>
      </c>
      <c r="E422" s="1" t="s">
        <v>162</v>
      </c>
      <c r="F422">
        <v>0.22997789573887928</v>
      </c>
      <c r="G422">
        <v>5.9218712782850336</v>
      </c>
      <c r="H422">
        <v>4.6363280077676752</v>
      </c>
      <c r="I422">
        <v>20.613959023351033</v>
      </c>
      <c r="J422">
        <v>4.9809013217262069E-2</v>
      </c>
      <c r="K422">
        <v>7.2184282326087335</v>
      </c>
      <c r="L422">
        <v>1.59426807738058</v>
      </c>
      <c r="M422">
        <v>0.32157748258097624</v>
      </c>
      <c r="N422">
        <v>0.21684931699959123</v>
      </c>
      <c r="O422">
        <v>17.901430182061134</v>
      </c>
      <c r="P422" s="3">
        <v>43.184434537064483</v>
      </c>
      <c r="Q422" s="3">
        <v>3.4742330040619054</v>
      </c>
    </row>
    <row r="423" spans="1:17" x14ac:dyDescent="0.3">
      <c r="A423" s="18">
        <v>15678</v>
      </c>
      <c r="B423" s="15" t="s">
        <v>160</v>
      </c>
      <c r="C423" s="15" t="s">
        <v>158</v>
      </c>
      <c r="D423" s="24">
        <v>1</v>
      </c>
      <c r="E423" s="1" t="s">
        <v>162</v>
      </c>
      <c r="F423">
        <v>0.28190838832507781</v>
      </c>
      <c r="G423">
        <v>5.4273769352917824</v>
      </c>
      <c r="H423">
        <v>4.9750551681525286</v>
      </c>
      <c r="I423">
        <v>21.268370420917734</v>
      </c>
      <c r="J423">
        <v>4.150751101438506E-2</v>
      </c>
      <c r="K423">
        <v>7.3613674055316798</v>
      </c>
      <c r="L423">
        <v>1.5822810993551621</v>
      </c>
      <c r="M423">
        <v>0.3284195566784438</v>
      </c>
      <c r="N423">
        <v>0.23233855392813343</v>
      </c>
      <c r="O423">
        <v>17.567187239017873</v>
      </c>
      <c r="P423" s="3">
        <v>41.515887597960372</v>
      </c>
      <c r="Q423" s="3">
        <v>3.3121294914285762</v>
      </c>
    </row>
    <row r="424" spans="1:17" x14ac:dyDescent="0.3">
      <c r="A424" s="18">
        <v>15682</v>
      </c>
      <c r="B424" s="15" t="s">
        <v>160</v>
      </c>
      <c r="C424" s="15" t="s">
        <v>158</v>
      </c>
      <c r="D424" s="24">
        <v>1</v>
      </c>
      <c r="E424" s="1" t="s">
        <v>162</v>
      </c>
      <c r="F424">
        <v>0.33383888091127639</v>
      </c>
      <c r="G424">
        <v>4.4022057364033342</v>
      </c>
      <c r="H424">
        <v>5.5572424750639948</v>
      </c>
      <c r="I424">
        <v>22.436962202286839</v>
      </c>
      <c r="J424">
        <v>7.4713519825893096E-2</v>
      </c>
      <c r="K424">
        <v>8.0760632701464061</v>
      </c>
      <c r="L424">
        <v>1.2886001377324234</v>
      </c>
      <c r="M424">
        <v>0.23263051931389772</v>
      </c>
      <c r="N424">
        <v>0.201360080071049</v>
      </c>
      <c r="O424">
        <v>16.323492567228996</v>
      </c>
      <c r="P424" s="3">
        <v>38.258236597392617</v>
      </c>
      <c r="Q424" s="3">
        <v>2.1260748604257294</v>
      </c>
    </row>
    <row r="425" spans="1:17" x14ac:dyDescent="0.3">
      <c r="A425" s="18">
        <v>15683</v>
      </c>
      <c r="B425" s="15" t="s">
        <v>160</v>
      </c>
      <c r="C425" s="15" t="s">
        <v>158</v>
      </c>
      <c r="D425" s="24">
        <v>1</v>
      </c>
      <c r="E425" s="1" t="s">
        <v>162</v>
      </c>
      <c r="F425">
        <v>0.17804740315268072</v>
      </c>
      <c r="G425">
        <v>5.7288978761413256</v>
      </c>
      <c r="H425">
        <v>4.9221290493423959</v>
      </c>
      <c r="I425">
        <v>21.221626749662967</v>
      </c>
      <c r="J425">
        <v>4.150751101438506E-2</v>
      </c>
      <c r="K425">
        <v>7.1469586461472616</v>
      </c>
      <c r="L425">
        <v>1.4983722531772368</v>
      </c>
      <c r="M425">
        <v>0.49947140911513055</v>
      </c>
      <c r="N425">
        <v>0.21684931699959123</v>
      </c>
      <c r="O425">
        <v>17.100801737097044</v>
      </c>
      <c r="P425" s="3">
        <v>43.494480648174935</v>
      </c>
      <c r="Q425" s="3">
        <v>5.0023568661259246</v>
      </c>
    </row>
    <row r="426" spans="1:17" x14ac:dyDescent="0.3">
      <c r="A426" s="18">
        <v>15684</v>
      </c>
      <c r="B426" s="15" t="s">
        <v>160</v>
      </c>
      <c r="C426" s="15" t="s">
        <v>158</v>
      </c>
      <c r="D426" s="24">
        <v>1</v>
      </c>
      <c r="E426" s="1" t="s">
        <v>162</v>
      </c>
      <c r="F426">
        <v>0.24481517933493602</v>
      </c>
      <c r="G426">
        <v>6.5128523223501391</v>
      </c>
      <c r="H426">
        <v>4.4457939800511959</v>
      </c>
      <c r="I426">
        <v>22.296731188522546</v>
      </c>
      <c r="J426">
        <v>4.150751101438506E-2</v>
      </c>
      <c r="K426">
        <v>6.3607931950710626</v>
      </c>
      <c r="L426">
        <v>0.86905590684279732</v>
      </c>
      <c r="M426">
        <v>0.37631407536071693</v>
      </c>
      <c r="N426">
        <v>0.2245939354638623</v>
      </c>
      <c r="O426">
        <v>16.71214715216302</v>
      </c>
      <c r="P426" s="3">
        <v>47.241293987912705</v>
      </c>
      <c r="Q426" s="3">
        <v>4.2076180038335487</v>
      </c>
    </row>
    <row r="427" spans="1:17" x14ac:dyDescent="0.3">
      <c r="A427" s="18">
        <v>15697</v>
      </c>
      <c r="B427" s="15" t="s">
        <v>160</v>
      </c>
      <c r="C427" s="15" t="s">
        <v>158</v>
      </c>
      <c r="D427" s="24">
        <v>1</v>
      </c>
      <c r="E427" s="1" t="s">
        <v>162</v>
      </c>
      <c r="F427">
        <v>0.24481517933493602</v>
      </c>
      <c r="G427">
        <v>6.3319397578404129</v>
      </c>
      <c r="H427">
        <v>4.7633506929119953</v>
      </c>
      <c r="I427">
        <v>20.941164722134381</v>
      </c>
      <c r="J427">
        <v>3.3206008811508043E-2</v>
      </c>
      <c r="K427">
        <v>6.2893236086095907</v>
      </c>
      <c r="L427">
        <v>1.4084699179866025</v>
      </c>
      <c r="M427">
        <v>0.30105126028857349</v>
      </c>
      <c r="N427">
        <v>0.201360080071049</v>
      </c>
      <c r="O427">
        <v>18.34449640888592</v>
      </c>
      <c r="P427" s="3">
        <v>44.230190572303229</v>
      </c>
      <c r="Q427" s="3">
        <v>3.1755371088773048</v>
      </c>
    </row>
    <row r="428" spans="1:17" x14ac:dyDescent="0.3">
      <c r="A428" s="18">
        <v>60053</v>
      </c>
      <c r="B428" s="15" t="s">
        <v>160</v>
      </c>
      <c r="C428" s="15" t="s">
        <v>158</v>
      </c>
      <c r="D428" s="24">
        <v>1</v>
      </c>
      <c r="E428" s="1" t="s">
        <v>162</v>
      </c>
      <c r="F428">
        <v>0.2596524629309927</v>
      </c>
      <c r="G428">
        <v>2.0503423977768955</v>
      </c>
      <c r="H428">
        <v>8.1506222967605257</v>
      </c>
      <c r="I428">
        <v>22.016269160993961</v>
      </c>
      <c r="J428">
        <v>2.4904506608631034E-2</v>
      </c>
      <c r="K428">
        <v>9.5769245858373306</v>
      </c>
      <c r="L428">
        <v>1.1986978025417894</v>
      </c>
      <c r="M428">
        <v>4.1052444584805475E-2</v>
      </c>
      <c r="N428">
        <v>0.2091046985353201</v>
      </c>
      <c r="O428">
        <v>13.991565057624854</v>
      </c>
      <c r="P428" s="3">
        <v>25.189143169685615</v>
      </c>
      <c r="Q428" s="3">
        <v>0.26068667459031158</v>
      </c>
    </row>
    <row r="429" spans="1:17" x14ac:dyDescent="0.3">
      <c r="A429" s="18">
        <v>60019</v>
      </c>
      <c r="B429" s="15" t="s">
        <v>160</v>
      </c>
      <c r="C429" s="15" t="s">
        <v>158</v>
      </c>
      <c r="D429" s="24">
        <v>1</v>
      </c>
      <c r="E429" s="1" t="s">
        <v>162</v>
      </c>
      <c r="F429">
        <v>0.62316591103438257</v>
      </c>
      <c r="G429">
        <v>3.3227607681619689</v>
      </c>
      <c r="H429">
        <v>8.3623267720010581</v>
      </c>
      <c r="I429">
        <v>20.567215352096269</v>
      </c>
      <c r="J429">
        <v>0.14112553744890921</v>
      </c>
      <c r="K429">
        <v>9.2195766535299679</v>
      </c>
      <c r="L429">
        <v>4.4951167595317099</v>
      </c>
      <c r="M429">
        <v>0.12315733375441643</v>
      </c>
      <c r="N429">
        <v>0.14714775082115117</v>
      </c>
      <c r="O429">
        <v>8.9390554534825455</v>
      </c>
      <c r="P429" s="3">
        <v>46.064755155613881</v>
      </c>
      <c r="Q429" s="3">
        <v>0.75845681092272232</v>
      </c>
    </row>
    <row r="430" spans="1:17" x14ac:dyDescent="0.3">
      <c r="A430" s="18">
        <v>60639</v>
      </c>
      <c r="B430" s="15" t="s">
        <v>160</v>
      </c>
      <c r="C430" s="15" t="s">
        <v>158</v>
      </c>
      <c r="D430" s="24">
        <v>1</v>
      </c>
      <c r="E430" s="1" t="s">
        <v>162</v>
      </c>
      <c r="F430">
        <v>0.40802529889156003</v>
      </c>
      <c r="G430">
        <v>3.4735212385867404</v>
      </c>
      <c r="H430">
        <v>7.0920999205578603</v>
      </c>
      <c r="I430">
        <v>19.118161543198575</v>
      </c>
      <c r="J430">
        <v>0.14112553744890921</v>
      </c>
      <c r="K430">
        <v>9.0766374806070207</v>
      </c>
      <c r="L430">
        <v>4.6749214299129784</v>
      </c>
      <c r="M430">
        <v>0.12999940785188402</v>
      </c>
      <c r="N430">
        <v>0.19361546160677787</v>
      </c>
      <c r="O430">
        <v>14.224757808585268</v>
      </c>
      <c r="P430" s="3">
        <v>35.941198590246955</v>
      </c>
      <c r="Q430" s="3">
        <v>0.94223505111822092</v>
      </c>
    </row>
    <row r="431" spans="1:17" x14ac:dyDescent="0.3">
      <c r="A431" s="18">
        <v>60639</v>
      </c>
      <c r="B431" s="15" t="s">
        <v>160</v>
      </c>
      <c r="C431" s="15" t="s">
        <v>158</v>
      </c>
      <c r="D431" s="24">
        <v>1</v>
      </c>
      <c r="E431" s="1" t="s">
        <v>162</v>
      </c>
      <c r="F431">
        <v>0.35609480630536144</v>
      </c>
      <c r="G431">
        <v>4.2996886165144899</v>
      </c>
      <c r="H431">
        <v>6.2452820195957273</v>
      </c>
      <c r="I431">
        <v>18.837699515669989</v>
      </c>
      <c r="J431">
        <v>0.12452253304315516</v>
      </c>
      <c r="K431">
        <v>8.8622287212226034</v>
      </c>
      <c r="L431">
        <v>4.6329670068240159</v>
      </c>
      <c r="M431">
        <v>0.1642097783392219</v>
      </c>
      <c r="N431">
        <v>0.21684931699959123</v>
      </c>
      <c r="O431">
        <v>15.07979789544012</v>
      </c>
      <c r="P431" s="3">
        <v>39.581931957996808</v>
      </c>
      <c r="Q431" s="3">
        <v>1.3460636045780234</v>
      </c>
    </row>
    <row r="432" spans="1:17" x14ac:dyDescent="0.3">
      <c r="A432" s="18">
        <v>60639</v>
      </c>
      <c r="B432" s="15" t="s">
        <v>160</v>
      </c>
      <c r="C432" s="15" t="s">
        <v>158</v>
      </c>
      <c r="D432" s="24">
        <v>1</v>
      </c>
      <c r="E432" s="1" t="s">
        <v>162</v>
      </c>
      <c r="F432">
        <v>0.40802529889156003</v>
      </c>
      <c r="G432">
        <v>3.968015581579992</v>
      </c>
      <c r="H432">
        <v>6.6157648512666603</v>
      </c>
      <c r="I432">
        <v>20.146522310803391</v>
      </c>
      <c r="J432">
        <v>0.14112553744890921</v>
      </c>
      <c r="K432">
        <v>8.0045936836849325</v>
      </c>
      <c r="L432">
        <v>4.4291883803919117</v>
      </c>
      <c r="M432">
        <v>0.1642097783392219</v>
      </c>
      <c r="N432">
        <v>0.19361546160677787</v>
      </c>
      <c r="O432">
        <v>13.836103223651245</v>
      </c>
      <c r="P432" s="3">
        <v>39.720675314175239</v>
      </c>
      <c r="Q432" s="3">
        <v>1.2716426013429256</v>
      </c>
    </row>
    <row r="433" spans="1:17" x14ac:dyDescent="0.3">
      <c r="A433" s="18">
        <v>60639</v>
      </c>
      <c r="B433" s="15" t="s">
        <v>160</v>
      </c>
      <c r="C433" s="15" t="s">
        <v>158</v>
      </c>
      <c r="D433" s="24">
        <v>1</v>
      </c>
      <c r="E433" s="1" t="s">
        <v>162</v>
      </c>
      <c r="F433">
        <v>0.39318801529550329</v>
      </c>
      <c r="G433">
        <v>4.450449086939261</v>
      </c>
      <c r="H433">
        <v>6.0865036631653275</v>
      </c>
      <c r="I433">
        <v>19.725829269510513</v>
      </c>
      <c r="J433">
        <v>0.14112553744890921</v>
      </c>
      <c r="K433">
        <v>7.5757761649160962</v>
      </c>
      <c r="L433">
        <v>4.716875853001941</v>
      </c>
      <c r="M433">
        <v>0.19157807472909225</v>
      </c>
      <c r="N433">
        <v>0.201360080071049</v>
      </c>
      <c r="O433">
        <v>14.768874227492901</v>
      </c>
      <c r="P433" s="3">
        <v>40.911649020059428</v>
      </c>
      <c r="Q433" s="3">
        <v>1.6071108485909924</v>
      </c>
    </row>
    <row r="434" spans="1:17" x14ac:dyDescent="0.3">
      <c r="A434" s="18">
        <v>60639</v>
      </c>
      <c r="B434" s="15" t="s">
        <v>160</v>
      </c>
      <c r="C434" s="15" t="s">
        <v>158</v>
      </c>
      <c r="D434" s="24">
        <v>1</v>
      </c>
      <c r="E434" s="1" t="s">
        <v>162</v>
      </c>
      <c r="F434">
        <v>0.35609480630536144</v>
      </c>
      <c r="G434">
        <v>4.9087609170305679</v>
      </c>
      <c r="H434">
        <v>6.033577544355194</v>
      </c>
      <c r="I434">
        <v>19.58559825574622</v>
      </c>
      <c r="J434">
        <v>0.12452253304315516</v>
      </c>
      <c r="K434">
        <v>7.5757761649160962</v>
      </c>
      <c r="L434">
        <v>4.4951167595317099</v>
      </c>
      <c r="M434">
        <v>0.22578844521643016</v>
      </c>
      <c r="N434">
        <v>0.201360080071049</v>
      </c>
      <c r="O434">
        <v>14.846605144479707</v>
      </c>
      <c r="P434" s="3">
        <v>43.171638179294071</v>
      </c>
      <c r="Q434" s="3">
        <v>1.904926459801862</v>
      </c>
    </row>
    <row r="435" spans="1:17" x14ac:dyDescent="0.3">
      <c r="A435" s="18">
        <v>60255</v>
      </c>
      <c r="B435" s="15" t="s">
        <v>160</v>
      </c>
      <c r="C435" s="15" t="s">
        <v>158</v>
      </c>
      <c r="D435" s="24">
        <v>1</v>
      </c>
      <c r="E435" s="1" t="s">
        <v>162</v>
      </c>
      <c r="F435">
        <v>0.20030332854676583</v>
      </c>
      <c r="G435">
        <v>5.4273769352917824</v>
      </c>
      <c r="H435">
        <v>5.7266060552564211</v>
      </c>
      <c r="I435">
        <v>22.427613468035883</v>
      </c>
      <c r="J435">
        <v>8.3015022028770109E-3</v>
      </c>
      <c r="K435">
        <v>8.9265513490379291</v>
      </c>
      <c r="L435">
        <v>0.94697126400801368</v>
      </c>
      <c r="M435">
        <v>0.31473540848350867</v>
      </c>
      <c r="N435">
        <v>0.21684931699959123</v>
      </c>
      <c r="O435">
        <v>13.214255887756806</v>
      </c>
      <c r="P435" s="3">
        <v>48.551845522179605</v>
      </c>
      <c r="Q435" s="3">
        <v>2.772934912841202</v>
      </c>
    </row>
    <row r="436" spans="1:17" x14ac:dyDescent="0.3">
      <c r="A436" s="18">
        <v>60503</v>
      </c>
      <c r="B436" s="15" t="s">
        <v>160</v>
      </c>
      <c r="C436" s="15" t="s">
        <v>158</v>
      </c>
      <c r="D436" s="24">
        <v>1</v>
      </c>
      <c r="E436" s="1" t="s">
        <v>162</v>
      </c>
      <c r="F436">
        <v>0.22255925394085091</v>
      </c>
      <c r="G436">
        <v>6.3319397578404129</v>
      </c>
      <c r="H436">
        <v>5.2396857622031954</v>
      </c>
      <c r="I436">
        <v>19.538854584491453</v>
      </c>
      <c r="J436">
        <v>1.6603004405754022E-2</v>
      </c>
      <c r="K436">
        <v>7.2184282326087335</v>
      </c>
      <c r="L436">
        <v>5.2143354410567833</v>
      </c>
      <c r="M436">
        <v>0.33526163077591142</v>
      </c>
      <c r="N436">
        <v>0.2091046985353201</v>
      </c>
      <c r="O436">
        <v>14.302488725572072</v>
      </c>
      <c r="P436" s="3">
        <v>50.426764002888866</v>
      </c>
      <c r="Q436" s="3">
        <v>3.213638185353624</v>
      </c>
    </row>
    <row r="437" spans="1:17" x14ac:dyDescent="0.3">
      <c r="A437" s="18">
        <v>62243</v>
      </c>
      <c r="B437" s="15" t="s">
        <v>160</v>
      </c>
      <c r="C437" s="15" t="s">
        <v>158</v>
      </c>
      <c r="D437" s="24">
        <v>1</v>
      </c>
      <c r="E437" s="1" t="s">
        <v>162</v>
      </c>
      <c r="F437">
        <v>0.14837283596056727</v>
      </c>
      <c r="G437">
        <v>6.0907230051607772</v>
      </c>
      <c r="H437">
        <v>6.2982081384058608</v>
      </c>
      <c r="I437">
        <v>21.689063462210608</v>
      </c>
      <c r="J437">
        <v>1.6603004405754022E-2</v>
      </c>
      <c r="K437">
        <v>7.7187153378390425</v>
      </c>
      <c r="L437">
        <v>0.47947912101671575</v>
      </c>
      <c r="M437">
        <v>0.37631407536071693</v>
      </c>
      <c r="N437">
        <v>0.2245939354638623</v>
      </c>
      <c r="O437">
        <v>14.457950559545683</v>
      </c>
      <c r="P437" s="3">
        <v>49.185577668437986</v>
      </c>
      <c r="Q437" s="3">
        <v>3.0072996740336424</v>
      </c>
    </row>
    <row r="438" spans="1:17" x14ac:dyDescent="0.3">
      <c r="A438" s="18">
        <v>60603</v>
      </c>
      <c r="B438" s="15" t="s">
        <v>160</v>
      </c>
      <c r="C438" s="15" t="s">
        <v>158</v>
      </c>
      <c r="D438" s="24">
        <v>1</v>
      </c>
      <c r="E438" s="1" t="s">
        <v>162</v>
      </c>
      <c r="F438">
        <v>0.34125752270930476</v>
      </c>
      <c r="G438">
        <v>7.8395444620881296</v>
      </c>
      <c r="H438">
        <v>2.9109365345573304</v>
      </c>
      <c r="I438">
        <v>16.266797596657955</v>
      </c>
      <c r="J438">
        <v>0.14112553744890921</v>
      </c>
      <c r="K438">
        <v>4.9314014658416108</v>
      </c>
      <c r="L438">
        <v>8.690559068427973</v>
      </c>
      <c r="M438">
        <v>0.56789215008980909</v>
      </c>
      <c r="N438">
        <v>0.18587084314250674</v>
      </c>
      <c r="O438">
        <v>17.878110906965091</v>
      </c>
      <c r="P438" s="3">
        <v>50.187537211896625</v>
      </c>
      <c r="Q438" s="3">
        <v>9.192988457017794</v>
      </c>
    </row>
    <row r="439" spans="1:17" x14ac:dyDescent="0.3">
      <c r="A439" s="13">
        <v>70008</v>
      </c>
      <c r="B439" s="15" t="s">
        <v>160</v>
      </c>
      <c r="C439" s="15" t="s">
        <v>158</v>
      </c>
      <c r="D439" s="24">
        <v>1</v>
      </c>
      <c r="E439" s="1" t="s">
        <v>162</v>
      </c>
      <c r="F439">
        <v>5.193049258619855E-2</v>
      </c>
      <c r="G439">
        <v>7.8395444620881296</v>
      </c>
      <c r="H439">
        <v>5.5043163562538613</v>
      </c>
      <c r="I439">
        <v>21.782550804720138</v>
      </c>
      <c r="J439">
        <v>8.3015022028770109E-3</v>
      </c>
      <c r="K439">
        <v>6.5752019544554798</v>
      </c>
      <c r="L439">
        <v>0.37159631878795468</v>
      </c>
      <c r="M439">
        <v>0.51999763140753608</v>
      </c>
      <c r="N439">
        <v>0.2091046985353201</v>
      </c>
      <c r="O439">
        <v>14.613412393519292</v>
      </c>
      <c r="P439" s="3">
        <v>55.209497358613341</v>
      </c>
      <c r="Q439" s="3">
        <v>4.6732290100261729</v>
      </c>
    </row>
    <row r="440" spans="1:17" x14ac:dyDescent="0.3">
      <c r="A440" s="13">
        <v>70007</v>
      </c>
      <c r="B440" s="15" t="s">
        <v>160</v>
      </c>
      <c r="C440" s="15" t="s">
        <v>158</v>
      </c>
      <c r="D440" s="24">
        <v>1</v>
      </c>
      <c r="E440" s="1" t="s">
        <v>162</v>
      </c>
      <c r="F440">
        <v>5.9349134384226912E-2</v>
      </c>
      <c r="G440">
        <v>6.9952858277094077</v>
      </c>
      <c r="H440">
        <v>5.6101685938741275</v>
      </c>
      <c r="I440">
        <v>22.109756503503487</v>
      </c>
      <c r="J440">
        <v>8.3015022028770109E-3</v>
      </c>
      <c r="K440">
        <v>7.1469586461472616</v>
      </c>
      <c r="L440">
        <v>0.41954423088962628</v>
      </c>
      <c r="M440">
        <v>0.48578726092019814</v>
      </c>
      <c r="N440">
        <v>0.2091046985353201</v>
      </c>
      <c r="O440">
        <v>14.069295974611659</v>
      </c>
      <c r="P440" s="3">
        <v>53.32358047845635</v>
      </c>
      <c r="Q440" s="3">
        <v>4.3001695581339874</v>
      </c>
    </row>
    <row r="441" spans="1:17" x14ac:dyDescent="0.3">
      <c r="A441" s="13">
        <v>70008</v>
      </c>
      <c r="B441" s="15" t="s">
        <v>160</v>
      </c>
      <c r="C441" s="15" t="s">
        <v>158</v>
      </c>
      <c r="D441" s="24">
        <v>1</v>
      </c>
      <c r="E441" s="1" t="s">
        <v>162</v>
      </c>
      <c r="F441">
        <v>0.11127962697042545</v>
      </c>
      <c r="G441">
        <v>6.633460698689956</v>
      </c>
      <c r="H441">
        <v>5.9277253067349269</v>
      </c>
      <c r="I441">
        <v>22.483705873541602</v>
      </c>
      <c r="J441">
        <v>8.3015022028770109E-3</v>
      </c>
      <c r="K441">
        <v>7.2184282326087335</v>
      </c>
      <c r="L441">
        <v>0.21576560445752208</v>
      </c>
      <c r="M441">
        <v>0.41052444584805475</v>
      </c>
      <c r="N441">
        <v>0.201360080071049</v>
      </c>
      <c r="O441">
        <v>14.147026891598463</v>
      </c>
      <c r="P441" s="3">
        <v>51.862139858282177</v>
      </c>
      <c r="Q441" s="3">
        <v>3.4691361847157403</v>
      </c>
    </row>
    <row r="442" spans="1:17" x14ac:dyDescent="0.3">
      <c r="A442" s="13">
        <v>70007</v>
      </c>
      <c r="B442" s="15" t="s">
        <v>160</v>
      </c>
      <c r="C442" s="15" t="s">
        <v>158</v>
      </c>
      <c r="D442" s="24">
        <v>1</v>
      </c>
      <c r="E442" s="1" t="s">
        <v>162</v>
      </c>
      <c r="F442">
        <v>0.1409541941625389</v>
      </c>
      <c r="G442">
        <v>8.557164301310042</v>
      </c>
      <c r="H442">
        <v>5.2767340453702882</v>
      </c>
      <c r="I442">
        <v>21.488065675815122</v>
      </c>
      <c r="J442">
        <v>8.3015022028770109E-3</v>
      </c>
      <c r="K442">
        <v>6.811051589778339</v>
      </c>
      <c r="L442">
        <v>0.41954423088962628</v>
      </c>
      <c r="M442">
        <v>0.3284195566784438</v>
      </c>
      <c r="N442">
        <v>0.23233855392813618</v>
      </c>
      <c r="O442">
        <v>14.504589109737765</v>
      </c>
      <c r="P442" s="3">
        <v>57.546932921036451</v>
      </c>
      <c r="Q442" s="3">
        <v>3.1286945110510569</v>
      </c>
    </row>
    <row r="443" spans="1:17" x14ac:dyDescent="0.3">
      <c r="A443" s="13">
        <v>70215</v>
      </c>
      <c r="B443" s="15" t="s">
        <v>160</v>
      </c>
      <c r="C443" s="15" t="s">
        <v>158</v>
      </c>
      <c r="D443" s="24">
        <v>1</v>
      </c>
      <c r="E443" s="1" t="s">
        <v>162</v>
      </c>
      <c r="F443">
        <v>0.22997789573887928</v>
      </c>
      <c r="G443">
        <v>5.6625632691544263</v>
      </c>
      <c r="H443">
        <v>4.1811633860005291</v>
      </c>
      <c r="I443">
        <v>18.09447514271924</v>
      </c>
      <c r="J443">
        <v>8.3015022028770109E-3</v>
      </c>
      <c r="K443">
        <v>8.7550243415303957</v>
      </c>
      <c r="L443">
        <v>7.5458026670005642</v>
      </c>
      <c r="M443">
        <v>0.3284195566784438</v>
      </c>
      <c r="N443">
        <v>0.2091046985353201</v>
      </c>
      <c r="O443">
        <v>13.960472690830132</v>
      </c>
      <c r="P443" s="3">
        <v>48.239343570675203</v>
      </c>
      <c r="Q443" s="3">
        <v>3.9163852648601929</v>
      </c>
    </row>
    <row r="444" spans="1:17" x14ac:dyDescent="0.3">
      <c r="A444" s="13">
        <v>70007</v>
      </c>
      <c r="B444" s="15" t="s">
        <v>160</v>
      </c>
      <c r="C444" s="15" t="s">
        <v>158</v>
      </c>
      <c r="D444" s="24">
        <v>1</v>
      </c>
      <c r="E444" s="1" t="s">
        <v>162</v>
      </c>
      <c r="F444">
        <v>4.4511850788170181E-2</v>
      </c>
      <c r="G444">
        <v>7.1158942040492255</v>
      </c>
      <c r="H444">
        <v>5.292611881013328</v>
      </c>
      <c r="I444">
        <v>22.810911572324951</v>
      </c>
      <c r="J444">
        <v>1.6603004405754022E-2</v>
      </c>
      <c r="K444">
        <v>6.7181411273784262</v>
      </c>
      <c r="L444">
        <v>0.41355074187691732</v>
      </c>
      <c r="M444">
        <v>0.47210311272526295</v>
      </c>
      <c r="N444">
        <v>0.23233855392813343</v>
      </c>
      <c r="O444">
        <v>13.913834140638048</v>
      </c>
      <c r="P444" s="3">
        <v>54.024902357939148</v>
      </c>
      <c r="Q444" s="3">
        <v>4.4240462632665807</v>
      </c>
    </row>
    <row r="445" spans="1:17" x14ac:dyDescent="0.3">
      <c r="A445" s="13">
        <v>70008</v>
      </c>
      <c r="B445" s="15" t="s">
        <v>160</v>
      </c>
      <c r="C445" s="15" t="s">
        <v>158</v>
      </c>
      <c r="D445" s="24">
        <v>1</v>
      </c>
      <c r="E445" s="1" t="s">
        <v>162</v>
      </c>
      <c r="F445">
        <v>6.6767776182255267E-2</v>
      </c>
      <c r="G445">
        <v>8.3822821556173075</v>
      </c>
      <c r="H445">
        <v>5.5043163562538613</v>
      </c>
      <c r="I445">
        <v>21.969525489739194</v>
      </c>
      <c r="J445">
        <v>1.6603004405754022E-2</v>
      </c>
      <c r="K445">
        <v>6.6466715409169534</v>
      </c>
      <c r="L445">
        <v>0.40156376385149944</v>
      </c>
      <c r="M445">
        <v>0.59526044647967946</v>
      </c>
      <c r="N445">
        <v>0.23233855392813343</v>
      </c>
      <c r="O445">
        <v>14.691143310506096</v>
      </c>
      <c r="P445" s="3">
        <v>56.728273917658107</v>
      </c>
      <c r="Q445" s="3">
        <v>5.3136763285754274</v>
      </c>
    </row>
    <row r="446" spans="1:17" x14ac:dyDescent="0.3">
      <c r="A446" s="13">
        <v>70007</v>
      </c>
      <c r="B446" s="15" t="s">
        <v>160</v>
      </c>
      <c r="C446" s="15" t="s">
        <v>158</v>
      </c>
      <c r="D446" s="24">
        <v>1</v>
      </c>
      <c r="E446" s="1" t="s">
        <v>162</v>
      </c>
      <c r="F446">
        <v>8.1605059778312006E-2</v>
      </c>
      <c r="G446">
        <v>6.0304188169908688</v>
      </c>
      <c r="H446">
        <v>6.2452820195957273</v>
      </c>
      <c r="I446">
        <v>23.605553983655945</v>
      </c>
      <c r="J446">
        <v>1.6603004405754022E-2</v>
      </c>
      <c r="K446">
        <v>8.2190024430693498</v>
      </c>
      <c r="L446">
        <v>0.21576560445752208</v>
      </c>
      <c r="M446">
        <v>0.23947259341136529</v>
      </c>
      <c r="N446">
        <v>0.24782779085667567</v>
      </c>
      <c r="O446">
        <v>12.592408551862368</v>
      </c>
      <c r="P446" s="3">
        <v>52.388686073902434</v>
      </c>
      <c r="Q446" s="3">
        <v>1.9509729771352811</v>
      </c>
    </row>
    <row r="447" spans="1:17" x14ac:dyDescent="0.3">
      <c r="A447" s="13">
        <v>76503</v>
      </c>
      <c r="B447" s="15" t="s">
        <v>160</v>
      </c>
      <c r="C447" s="15" t="s">
        <v>158</v>
      </c>
      <c r="D447" s="24">
        <v>1</v>
      </c>
      <c r="E447" s="1" t="s">
        <v>162</v>
      </c>
      <c r="F447">
        <v>0.29674567192113455</v>
      </c>
      <c r="G447">
        <v>6.4525481341802298</v>
      </c>
      <c r="H447">
        <v>5.292611881013328</v>
      </c>
      <c r="I447">
        <v>17.80933874806518</v>
      </c>
      <c r="J447">
        <v>1.6603004405754022E-2</v>
      </c>
      <c r="K447">
        <v>7.0969299356242299</v>
      </c>
      <c r="L447">
        <v>7.2521217053778253</v>
      </c>
      <c r="M447">
        <v>0.39684029765311962</v>
      </c>
      <c r="N447">
        <v>0.17812622467823563</v>
      </c>
      <c r="O447">
        <v>13.291986804743612</v>
      </c>
      <c r="P447" s="3">
        <v>52.727581010106661</v>
      </c>
      <c r="Q447" s="3">
        <v>3.7451776168694426</v>
      </c>
    </row>
    <row r="448" spans="1:17" x14ac:dyDescent="0.3">
      <c r="A448" s="13">
        <v>76503</v>
      </c>
      <c r="B448" s="15" t="s">
        <v>160</v>
      </c>
      <c r="C448" s="15" t="s">
        <v>158</v>
      </c>
      <c r="D448" s="24">
        <v>1</v>
      </c>
      <c r="E448" s="1" t="s">
        <v>162</v>
      </c>
      <c r="F448">
        <v>0.36351344810338981</v>
      </c>
      <c r="G448">
        <v>5.8012629019452158</v>
      </c>
      <c r="H448">
        <v>6.5099126136463941</v>
      </c>
      <c r="I448">
        <v>18.60398115939617</v>
      </c>
      <c r="J448">
        <v>1.6603004405754022E-2</v>
      </c>
      <c r="K448">
        <v>7.5043065784546243</v>
      </c>
      <c r="L448">
        <v>6.6527728041069309</v>
      </c>
      <c r="M448">
        <v>0.33526163077591142</v>
      </c>
      <c r="N448">
        <v>0.1626369877496934</v>
      </c>
      <c r="O448">
        <v>12.28148488391515</v>
      </c>
      <c r="P448" s="3">
        <v>52.045874758069338</v>
      </c>
      <c r="Q448" s="3">
        <v>2.6029084044878239</v>
      </c>
    </row>
    <row r="449" spans="1:17" x14ac:dyDescent="0.3">
      <c r="A449" s="13">
        <v>70004</v>
      </c>
      <c r="B449" s="15" t="s">
        <v>160</v>
      </c>
      <c r="C449" s="15" t="s">
        <v>158</v>
      </c>
      <c r="D449" s="24">
        <v>1</v>
      </c>
      <c r="E449" s="1" t="s">
        <v>162</v>
      </c>
      <c r="F449">
        <v>0.11869826876845382</v>
      </c>
      <c r="G449">
        <v>4.221293171893608</v>
      </c>
      <c r="H449">
        <v>6.7216170888869264</v>
      </c>
      <c r="I449">
        <v>22.623936887305895</v>
      </c>
      <c r="J449">
        <v>2.4904506608631034E-2</v>
      </c>
      <c r="K449">
        <v>9.2195766535299679</v>
      </c>
      <c r="L449">
        <v>0.43752469792775311</v>
      </c>
      <c r="M449">
        <v>0.18473600063162465</v>
      </c>
      <c r="N449">
        <v>0.26331702778521793</v>
      </c>
      <c r="O449">
        <v>13.991565057624854</v>
      </c>
      <c r="P449" s="3">
        <v>40.940751233331703</v>
      </c>
      <c r="Q449" s="3">
        <v>1.4061504673200944</v>
      </c>
    </row>
    <row r="450" spans="1:17" x14ac:dyDescent="0.3">
      <c r="A450" s="13">
        <v>70009</v>
      </c>
      <c r="B450" s="15" t="s">
        <v>160</v>
      </c>
      <c r="C450" s="15" t="s">
        <v>158</v>
      </c>
      <c r="D450" s="24">
        <v>1</v>
      </c>
      <c r="E450" s="1" t="s">
        <v>162</v>
      </c>
      <c r="F450">
        <v>0.11869826876845382</v>
      </c>
      <c r="G450">
        <v>4.221293171893608</v>
      </c>
      <c r="H450">
        <v>6.7216170888869264</v>
      </c>
      <c r="I450">
        <v>22.623936887305895</v>
      </c>
      <c r="J450">
        <v>2.4904506608631034E-2</v>
      </c>
      <c r="K450">
        <v>9.2195766535299679</v>
      </c>
      <c r="L450">
        <v>0.43752469792775311</v>
      </c>
      <c r="M450">
        <v>0.18473600063162465</v>
      </c>
      <c r="N450">
        <v>0.26331702778521793</v>
      </c>
      <c r="O450">
        <v>13.991565057624854</v>
      </c>
      <c r="P450" s="3">
        <v>40.940751233331703</v>
      </c>
      <c r="Q450" s="3">
        <v>1.4061504673200944</v>
      </c>
    </row>
    <row r="451" spans="1:17" x14ac:dyDescent="0.3">
      <c r="A451" s="13">
        <v>71136</v>
      </c>
      <c r="B451" s="15" t="s">
        <v>160</v>
      </c>
      <c r="C451" s="15" t="s">
        <v>158</v>
      </c>
      <c r="D451" s="24">
        <v>1</v>
      </c>
      <c r="E451" s="1" t="s">
        <v>162</v>
      </c>
      <c r="F451">
        <v>0.27448974652704944</v>
      </c>
      <c r="G451">
        <v>4.2393844283445814</v>
      </c>
      <c r="H451">
        <v>5.4037567305146084</v>
      </c>
      <c r="I451">
        <v>18.837699515669989</v>
      </c>
      <c r="J451">
        <v>2.4904506608631034E-2</v>
      </c>
      <c r="K451">
        <v>8.3833824919307371</v>
      </c>
      <c r="L451">
        <v>6.6647597821323483</v>
      </c>
      <c r="M451">
        <v>0.19157807472909225</v>
      </c>
      <c r="N451">
        <v>0.21684931699959123</v>
      </c>
      <c r="O451">
        <v>14.333581092366796</v>
      </c>
      <c r="P451" s="3">
        <v>40.46109353281426</v>
      </c>
      <c r="Q451" s="3">
        <v>1.8064958838376728</v>
      </c>
    </row>
    <row r="452" spans="1:17" x14ac:dyDescent="0.3">
      <c r="A452" s="13">
        <v>71567</v>
      </c>
      <c r="B452" s="15" t="s">
        <v>160</v>
      </c>
      <c r="C452" s="15" t="s">
        <v>158</v>
      </c>
      <c r="D452" s="24">
        <v>1</v>
      </c>
      <c r="E452" s="1" t="s">
        <v>162</v>
      </c>
      <c r="F452">
        <v>0.28190838832507781</v>
      </c>
      <c r="G452">
        <v>5.3248598154029372</v>
      </c>
      <c r="H452">
        <v>4.5463536057904488</v>
      </c>
      <c r="I452">
        <v>17.790641279563275</v>
      </c>
      <c r="J452">
        <v>2.4904506608631034E-2</v>
      </c>
      <c r="K452">
        <v>7.5543352889776552</v>
      </c>
      <c r="L452">
        <v>7.7795487384962136</v>
      </c>
      <c r="M452">
        <v>0.29420918619110592</v>
      </c>
      <c r="N452">
        <v>0.21684931699959123</v>
      </c>
      <c r="O452">
        <v>15.07979789544012</v>
      </c>
      <c r="P452" s="3">
        <v>44.792164420128977</v>
      </c>
      <c r="Q452" s="3">
        <v>3.2490215081679672</v>
      </c>
    </row>
    <row r="453" spans="1:17" x14ac:dyDescent="0.3">
      <c r="A453" s="13">
        <v>71566</v>
      </c>
      <c r="B453" s="15" t="s">
        <v>160</v>
      </c>
      <c r="C453" s="15" t="s">
        <v>158</v>
      </c>
      <c r="D453" s="24">
        <v>1</v>
      </c>
      <c r="E453" s="1" t="s">
        <v>162</v>
      </c>
      <c r="F453">
        <v>0.29674567192113455</v>
      </c>
      <c r="G453">
        <v>5.0655518062723299</v>
      </c>
      <c r="H453">
        <v>4.8797881542942889</v>
      </c>
      <c r="I453">
        <v>18.35623970174592</v>
      </c>
      <c r="J453">
        <v>2.4904506608631034E-2</v>
      </c>
      <c r="K453">
        <v>7.7830379656543682</v>
      </c>
      <c r="L453">
        <v>7.1981803042634454</v>
      </c>
      <c r="M453">
        <v>0.25999881570376804</v>
      </c>
      <c r="N453">
        <v>0.2091046985353201</v>
      </c>
      <c r="O453">
        <v>14.560555369968265</v>
      </c>
      <c r="P453" s="3">
        <v>44.424404558145234</v>
      </c>
      <c r="Q453" s="3">
        <v>2.6904810036882849</v>
      </c>
    </row>
    <row r="454" spans="1:17" x14ac:dyDescent="0.3">
      <c r="A454" s="13">
        <v>70008</v>
      </c>
      <c r="B454" s="15" t="s">
        <v>160</v>
      </c>
      <c r="C454" s="15" t="s">
        <v>158</v>
      </c>
      <c r="D454" s="24">
        <v>1</v>
      </c>
      <c r="E454" s="1" t="s">
        <v>162</v>
      </c>
      <c r="F454">
        <v>0.11127962697042545</v>
      </c>
      <c r="G454">
        <v>5.6685936879714172</v>
      </c>
      <c r="H454">
        <v>6.033577544355194</v>
      </c>
      <c r="I454">
        <v>22.764167901070188</v>
      </c>
      <c r="J454">
        <v>3.3206008811508043E-2</v>
      </c>
      <c r="K454">
        <v>7.2898978190702062</v>
      </c>
      <c r="L454">
        <v>0.29967445063544734</v>
      </c>
      <c r="M454">
        <v>0.41052444584805475</v>
      </c>
      <c r="N454">
        <v>0.201360080071049</v>
      </c>
      <c r="O454">
        <v>14.768874227492901</v>
      </c>
      <c r="P454" s="3">
        <v>46.86205684841736</v>
      </c>
      <c r="Q454" s="3">
        <v>3.4103497547622674</v>
      </c>
    </row>
    <row r="455" spans="1:17" x14ac:dyDescent="0.3">
      <c r="A455" s="13">
        <v>79001</v>
      </c>
      <c r="B455" s="15" t="s">
        <v>160</v>
      </c>
      <c r="C455" s="15" t="s">
        <v>158</v>
      </c>
      <c r="D455" s="24">
        <v>1</v>
      </c>
      <c r="E455" s="1" t="s">
        <v>162</v>
      </c>
      <c r="F455">
        <v>0.16321011955662401</v>
      </c>
      <c r="G455">
        <v>6.5731565105200476</v>
      </c>
      <c r="H455">
        <v>4.9221290493423959</v>
      </c>
      <c r="I455">
        <v>18.977930529434285</v>
      </c>
      <c r="J455">
        <v>3.3206008811508043E-2</v>
      </c>
      <c r="K455">
        <v>6.9325498867628426</v>
      </c>
      <c r="L455">
        <v>5.9335541225818575</v>
      </c>
      <c r="M455">
        <v>0.47210311272526295</v>
      </c>
      <c r="N455">
        <v>0.201360080071049</v>
      </c>
      <c r="O455">
        <v>14.069295974611659</v>
      </c>
      <c r="P455" s="3">
        <v>51.771688785285214</v>
      </c>
      <c r="Q455" s="3">
        <v>4.7412509717368545</v>
      </c>
    </row>
    <row r="456" spans="1:17" x14ac:dyDescent="0.3">
      <c r="A456" s="13">
        <v>70215</v>
      </c>
      <c r="B456" s="15" t="s">
        <v>160</v>
      </c>
      <c r="C456" s="15" t="s">
        <v>158</v>
      </c>
      <c r="D456" s="24">
        <v>1</v>
      </c>
      <c r="E456" s="1" t="s">
        <v>162</v>
      </c>
      <c r="F456">
        <v>0.23739653753690765</v>
      </c>
      <c r="G456">
        <v>5.1379168320762201</v>
      </c>
      <c r="H456">
        <v>4.5886945008385558</v>
      </c>
      <c r="I456">
        <v>17.383971339646823</v>
      </c>
      <c r="J456">
        <v>3.3206008811508043E-2</v>
      </c>
      <c r="K456">
        <v>7.4542778679315935</v>
      </c>
      <c r="L456">
        <v>7.8754445626995562</v>
      </c>
      <c r="M456">
        <v>0.19157807472909225</v>
      </c>
      <c r="N456">
        <v>0.21684931699959123</v>
      </c>
      <c r="O456">
        <v>15.250805912811092</v>
      </c>
      <c r="P456" s="3">
        <v>43.632591850497676</v>
      </c>
      <c r="Q456" s="3">
        <v>2.1205684753589171</v>
      </c>
    </row>
    <row r="457" spans="1:17" x14ac:dyDescent="0.3">
      <c r="A457" s="13">
        <v>71175</v>
      </c>
      <c r="B457" s="15" t="s">
        <v>160</v>
      </c>
      <c r="C457" s="15" t="s">
        <v>158</v>
      </c>
      <c r="D457" s="24">
        <v>1</v>
      </c>
      <c r="E457" s="1" t="s">
        <v>162</v>
      </c>
      <c r="F457">
        <v>0.28190838832507781</v>
      </c>
      <c r="G457">
        <v>5.8072933207622075</v>
      </c>
      <c r="H457">
        <v>4.4828422632182896</v>
      </c>
      <c r="I457">
        <v>17.729874506932077</v>
      </c>
      <c r="J457">
        <v>3.3206008811508043E-2</v>
      </c>
      <c r="K457">
        <v>6.9968725145781683</v>
      </c>
      <c r="L457">
        <v>7.8394836286233023</v>
      </c>
      <c r="M457">
        <v>0.36947200126324931</v>
      </c>
      <c r="N457">
        <v>0.21684931699959123</v>
      </c>
      <c r="O457">
        <v>15.05647862034408</v>
      </c>
      <c r="P457" s="3">
        <v>46.983770016859239</v>
      </c>
      <c r="Q457" s="3">
        <v>4.1015124659364357</v>
      </c>
    </row>
    <row r="458" spans="1:17" x14ac:dyDescent="0.3">
      <c r="A458" s="13">
        <v>78597</v>
      </c>
      <c r="B458" s="15" t="s">
        <v>160</v>
      </c>
      <c r="C458" s="15" t="s">
        <v>158</v>
      </c>
      <c r="D458" s="24">
        <v>1</v>
      </c>
      <c r="E458" s="1" t="s">
        <v>162</v>
      </c>
      <c r="F458">
        <v>0.28932703012310618</v>
      </c>
      <c r="G458">
        <v>4.7218179337038508</v>
      </c>
      <c r="H458">
        <v>4.6839615146967954</v>
      </c>
      <c r="I458">
        <v>18.015010901586141</v>
      </c>
      <c r="J458">
        <v>3.3206008811508043E-2</v>
      </c>
      <c r="K458">
        <v>7.8187727588851033</v>
      </c>
      <c r="L458">
        <v>7.4259328867463852</v>
      </c>
      <c r="M458">
        <v>0.21894637111896256</v>
      </c>
      <c r="N458">
        <v>0.2245939354638623</v>
      </c>
      <c r="O458">
        <v>15.289671371304495</v>
      </c>
      <c r="P458" s="3">
        <v>41.506010913156778</v>
      </c>
      <c r="Q458" s="3">
        <v>2.3682082827583</v>
      </c>
    </row>
    <row r="459" spans="1:17" x14ac:dyDescent="0.3">
      <c r="A459" s="13">
        <v>70185</v>
      </c>
      <c r="B459" s="15" t="s">
        <v>160</v>
      </c>
      <c r="C459" s="15" t="s">
        <v>158</v>
      </c>
      <c r="D459" s="24">
        <v>1</v>
      </c>
      <c r="E459" s="1" t="s">
        <v>162</v>
      </c>
      <c r="F459">
        <v>0.28932703012310618</v>
      </c>
      <c r="G459">
        <v>4.8906696605795945</v>
      </c>
      <c r="H459">
        <v>4.7845211404360484</v>
      </c>
      <c r="I459">
        <v>18.781607110164273</v>
      </c>
      <c r="J459">
        <v>3.3206008811508043E-2</v>
      </c>
      <c r="K459">
        <v>8.5406155821459766</v>
      </c>
      <c r="L459">
        <v>6.9044993426407064</v>
      </c>
      <c r="M459">
        <v>0.27368296389870322</v>
      </c>
      <c r="N459">
        <v>0.201360080071049</v>
      </c>
      <c r="O459">
        <v>13.711733756472357</v>
      </c>
      <c r="P459" s="3">
        <v>45.040739247941467</v>
      </c>
      <c r="Q459" s="3">
        <v>2.8827685978312623</v>
      </c>
    </row>
    <row r="460" spans="1:17" x14ac:dyDescent="0.3">
      <c r="A460" s="13">
        <v>70017</v>
      </c>
      <c r="B460" s="15" t="s">
        <v>160</v>
      </c>
      <c r="C460" s="15" t="s">
        <v>158</v>
      </c>
      <c r="D460" s="24">
        <v>1</v>
      </c>
      <c r="E460" s="1" t="s">
        <v>162</v>
      </c>
      <c r="F460">
        <v>0.29674567192113455</v>
      </c>
      <c r="G460">
        <v>5.9158408594680427</v>
      </c>
      <c r="H460">
        <v>4.652205843410715</v>
      </c>
      <c r="I460">
        <v>17.795315646688749</v>
      </c>
      <c r="J460">
        <v>3.3206008811508043E-2</v>
      </c>
      <c r="K460">
        <v>7.3613674055316798</v>
      </c>
      <c r="L460">
        <v>7.8514706066487205</v>
      </c>
      <c r="M460">
        <v>0.19842014882655981</v>
      </c>
      <c r="N460">
        <v>0.2091046985353201</v>
      </c>
      <c r="O460">
        <v>14.045976699515617</v>
      </c>
      <c r="P460" s="3">
        <v>49.179962315090606</v>
      </c>
      <c r="Q460" s="3">
        <v>2.1653287461773703</v>
      </c>
    </row>
    <row r="461" spans="1:17" x14ac:dyDescent="0.3">
      <c r="A461" s="13">
        <v>71055</v>
      </c>
      <c r="B461" s="15" t="s">
        <v>160</v>
      </c>
      <c r="C461" s="15" t="s">
        <v>158</v>
      </c>
      <c r="D461" s="24">
        <v>1</v>
      </c>
      <c r="E461" s="1" t="s">
        <v>162</v>
      </c>
      <c r="F461">
        <v>0.29674567192113455</v>
      </c>
      <c r="G461">
        <v>5.1921906014291377</v>
      </c>
      <c r="H461">
        <v>4.509305322623355</v>
      </c>
      <c r="I461">
        <v>17.374622605395871</v>
      </c>
      <c r="J461">
        <v>3.3206008811508043E-2</v>
      </c>
      <c r="K461">
        <v>7.4185430747008576</v>
      </c>
      <c r="L461">
        <v>8.1271711012333316</v>
      </c>
      <c r="M461">
        <v>0.30789333438604111</v>
      </c>
      <c r="N461">
        <v>0.2245939354638623</v>
      </c>
      <c r="O461">
        <v>15.647233589443793</v>
      </c>
      <c r="P461" s="3">
        <v>43.260256988135843</v>
      </c>
      <c r="Q461" s="3">
        <v>3.4219471117687048</v>
      </c>
    </row>
    <row r="462" spans="1:17" x14ac:dyDescent="0.3">
      <c r="A462" s="13">
        <v>70215</v>
      </c>
      <c r="B462" s="15" t="s">
        <v>160</v>
      </c>
      <c r="C462" s="15" t="s">
        <v>158</v>
      </c>
      <c r="D462" s="24">
        <v>1</v>
      </c>
      <c r="E462" s="1" t="s">
        <v>162</v>
      </c>
      <c r="F462">
        <v>0.28190838832507781</v>
      </c>
      <c r="G462">
        <v>4.8183046347757044</v>
      </c>
      <c r="H462">
        <v>4.6892541265778087</v>
      </c>
      <c r="I462">
        <v>17.720525772681125</v>
      </c>
      <c r="J462">
        <v>3.403615903179575E-2</v>
      </c>
      <c r="K462">
        <v>7.6972744619005997</v>
      </c>
      <c r="L462">
        <v>7.8394836286233023</v>
      </c>
      <c r="M462">
        <v>0.2948933936008527</v>
      </c>
      <c r="N462">
        <v>0.20445792745675745</v>
      </c>
      <c r="O462">
        <v>15.515091030566227</v>
      </c>
      <c r="P462" s="3">
        <v>41.641855423578093</v>
      </c>
      <c r="Q462" s="3">
        <v>3.1602337678580867</v>
      </c>
    </row>
    <row r="463" spans="1:17" x14ac:dyDescent="0.3">
      <c r="A463" s="13">
        <v>70017</v>
      </c>
      <c r="B463" s="15" t="s">
        <v>160</v>
      </c>
      <c r="C463" s="15" t="s">
        <v>158</v>
      </c>
      <c r="D463" s="24">
        <v>1</v>
      </c>
      <c r="E463" s="1" t="s">
        <v>162</v>
      </c>
      <c r="F463">
        <v>0.31900159731521965</v>
      </c>
      <c r="G463">
        <v>5.674624106788408</v>
      </c>
      <c r="H463">
        <v>4.6469132315297017</v>
      </c>
      <c r="I463">
        <v>17.935546660453038</v>
      </c>
      <c r="J463">
        <v>3.9017060353521954E-2</v>
      </c>
      <c r="K463">
        <v>7.4542778679315935</v>
      </c>
      <c r="L463">
        <v>7.6896464033055789</v>
      </c>
      <c r="M463">
        <v>0.39478767542387933</v>
      </c>
      <c r="N463">
        <v>0.19129207606749654</v>
      </c>
      <c r="O463">
        <v>14.543454568231168</v>
      </c>
      <c r="P463" s="3">
        <v>47.271742397673712</v>
      </c>
      <c r="Q463" s="3">
        <v>4.2224726640555161</v>
      </c>
    </row>
    <row r="464" spans="1:17" x14ac:dyDescent="0.3">
      <c r="A464" s="13">
        <v>76503</v>
      </c>
      <c r="B464" s="15" t="s">
        <v>160</v>
      </c>
      <c r="C464" s="15" t="s">
        <v>158</v>
      </c>
      <c r="D464" s="24">
        <v>1</v>
      </c>
      <c r="E464" s="1" t="s">
        <v>162</v>
      </c>
      <c r="F464">
        <v>0.22997789573887928</v>
      </c>
      <c r="G464">
        <v>5.216312276697102</v>
      </c>
      <c r="H464">
        <v>6.3511342572159943</v>
      </c>
      <c r="I464">
        <v>20.370891932826257</v>
      </c>
      <c r="J464">
        <v>4.150751101438506E-2</v>
      </c>
      <c r="K464">
        <v>8.0760632701464061</v>
      </c>
      <c r="L464">
        <v>3.4942040944093162</v>
      </c>
      <c r="M464">
        <v>0.33526163077591142</v>
      </c>
      <c r="N464">
        <v>0.19361546160677787</v>
      </c>
      <c r="O464">
        <v>13.836103223651245</v>
      </c>
      <c r="P464" s="3">
        <v>46.416336622644693</v>
      </c>
      <c r="Q464" s="3">
        <v>2.6662461159940811</v>
      </c>
    </row>
    <row r="465" spans="1:17" x14ac:dyDescent="0.3">
      <c r="A465" s="13">
        <v>78135</v>
      </c>
      <c r="B465" s="15" t="s">
        <v>160</v>
      </c>
      <c r="C465" s="15" t="s">
        <v>158</v>
      </c>
      <c r="D465" s="24">
        <v>1</v>
      </c>
      <c r="E465" s="1" t="s">
        <v>162</v>
      </c>
      <c r="F465">
        <v>0.26707110472902107</v>
      </c>
      <c r="G465">
        <v>5.2404339519650645</v>
      </c>
      <c r="H465">
        <v>4.4352087562891693</v>
      </c>
      <c r="I465">
        <v>17.753246342559461</v>
      </c>
      <c r="J465">
        <v>4.150751101438506E-2</v>
      </c>
      <c r="K465">
        <v>7.6543927100237177</v>
      </c>
      <c r="L465">
        <v>7.7256073373818328</v>
      </c>
      <c r="M465">
        <v>0.30789333438604111</v>
      </c>
      <c r="N465">
        <v>0.2091046985353201</v>
      </c>
      <c r="O465">
        <v>14.807739685986304</v>
      </c>
      <c r="P465" s="3">
        <v>44.847164843125519</v>
      </c>
      <c r="Q465" s="3">
        <v>3.4771278550835358</v>
      </c>
    </row>
    <row r="466" spans="1:17" x14ac:dyDescent="0.3">
      <c r="A466" s="13">
        <v>71135</v>
      </c>
      <c r="B466" s="15" t="s">
        <v>160</v>
      </c>
      <c r="C466" s="15" t="s">
        <v>158</v>
      </c>
      <c r="D466" s="24">
        <v>1</v>
      </c>
      <c r="E466" s="1" t="s">
        <v>162</v>
      </c>
      <c r="F466">
        <v>0.28190838832507781</v>
      </c>
      <c r="G466">
        <v>4.4082361552203251</v>
      </c>
      <c r="H466">
        <v>5.3455379998234616</v>
      </c>
      <c r="I466">
        <v>18.561911855266882</v>
      </c>
      <c r="J466">
        <v>4.150751101438506E-2</v>
      </c>
      <c r="K466">
        <v>8.3047659468231174</v>
      </c>
      <c r="L466">
        <v>6.4370071996494094</v>
      </c>
      <c r="M466">
        <v>0.21210429702149497</v>
      </c>
      <c r="N466">
        <v>0.21684931699959123</v>
      </c>
      <c r="O466">
        <v>14.43463128444964</v>
      </c>
      <c r="P466" s="3">
        <v>41.235031739171681</v>
      </c>
      <c r="Q466" s="3">
        <v>2.0174873528975907</v>
      </c>
    </row>
    <row r="467" spans="1:17" x14ac:dyDescent="0.3">
      <c r="A467" s="13">
        <v>78506</v>
      </c>
      <c r="B467" s="15" t="s">
        <v>160</v>
      </c>
      <c r="C467" s="15" t="s">
        <v>158</v>
      </c>
      <c r="D467" s="24">
        <v>1</v>
      </c>
      <c r="E467" s="1" t="s">
        <v>162</v>
      </c>
      <c r="F467">
        <v>0.28932703012310618</v>
      </c>
      <c r="G467">
        <v>5.7831716454942432</v>
      </c>
      <c r="H467">
        <v>4.758058081030982</v>
      </c>
      <c r="I467">
        <v>18.019685268711616</v>
      </c>
      <c r="J467">
        <v>4.150751101438506E-2</v>
      </c>
      <c r="K467">
        <v>7.1040768942703769</v>
      </c>
      <c r="L467">
        <v>7.7495812934326684</v>
      </c>
      <c r="M467">
        <v>0.34894577897084655</v>
      </c>
      <c r="N467">
        <v>0.2091046985353201</v>
      </c>
      <c r="O467">
        <v>15.048705528645398</v>
      </c>
      <c r="P467" s="3">
        <v>46.892963264599395</v>
      </c>
      <c r="Q467" s="3">
        <v>3.6661589470283591</v>
      </c>
    </row>
    <row r="468" spans="1:17" x14ac:dyDescent="0.3">
      <c r="A468" s="13">
        <v>74255</v>
      </c>
      <c r="B468" s="15" t="s">
        <v>160</v>
      </c>
      <c r="C468" s="15" t="s">
        <v>158</v>
      </c>
      <c r="D468" s="24">
        <v>1</v>
      </c>
      <c r="E468" s="1" t="s">
        <v>162</v>
      </c>
      <c r="F468">
        <v>0.28932703012310618</v>
      </c>
      <c r="G468">
        <v>6.4706393906312023</v>
      </c>
      <c r="H468">
        <v>4.7739359166740218</v>
      </c>
      <c r="I468">
        <v>18.09447514271924</v>
      </c>
      <c r="J468">
        <v>4.150751101438506E-2</v>
      </c>
      <c r="K468">
        <v>7.2827508604240592</v>
      </c>
      <c r="L468">
        <v>7.5398091779878555</v>
      </c>
      <c r="M468">
        <v>0.4310506681404575</v>
      </c>
      <c r="N468">
        <v>0.17812622467823563</v>
      </c>
      <c r="O468">
        <v>13.649549022882912</v>
      </c>
      <c r="P468" s="3">
        <v>52.135359111762497</v>
      </c>
      <c r="Q468" s="3">
        <v>4.4757869836763806</v>
      </c>
    </row>
    <row r="469" spans="1:17" x14ac:dyDescent="0.3">
      <c r="A469" s="13">
        <v>70017</v>
      </c>
      <c r="B469" s="15" t="s">
        <v>160</v>
      </c>
      <c r="C469" s="15" t="s">
        <v>158</v>
      </c>
      <c r="D469" s="24">
        <v>1</v>
      </c>
      <c r="E469" s="1" t="s">
        <v>162</v>
      </c>
      <c r="F469">
        <v>0.28932703012310618</v>
      </c>
      <c r="G469">
        <v>6.0183579793568871</v>
      </c>
      <c r="H469">
        <v>4.5781092770765293</v>
      </c>
      <c r="I469">
        <v>18.015010901586141</v>
      </c>
      <c r="J469">
        <v>4.150751101438506E-2</v>
      </c>
      <c r="K469">
        <v>7.347073488239384</v>
      </c>
      <c r="L469">
        <v>7.7855422275089223</v>
      </c>
      <c r="M469">
        <v>0.34210370487337899</v>
      </c>
      <c r="N469">
        <v>0.19361546160677787</v>
      </c>
      <c r="O469">
        <v>14.185892350091866</v>
      </c>
      <c r="P469" s="3">
        <v>49.361644497578851</v>
      </c>
      <c r="Q469" s="3">
        <v>3.7329608902958498</v>
      </c>
    </row>
    <row r="470" spans="1:17" x14ac:dyDescent="0.3">
      <c r="A470" s="13">
        <v>77535</v>
      </c>
      <c r="B470" s="15" t="s">
        <v>160</v>
      </c>
      <c r="C470" s="15" t="s">
        <v>158</v>
      </c>
      <c r="D470" s="24">
        <v>1</v>
      </c>
      <c r="E470" s="1" t="s">
        <v>162</v>
      </c>
      <c r="F470">
        <v>0.28932703012310618</v>
      </c>
      <c r="G470">
        <v>5.3369206530369189</v>
      </c>
      <c r="H470">
        <v>4.7368876335069281</v>
      </c>
      <c r="I470">
        <v>18.029034002962568</v>
      </c>
      <c r="J470">
        <v>4.150751101438506E-2</v>
      </c>
      <c r="K470">
        <v>7.6186579167929809</v>
      </c>
      <c r="L470">
        <v>7.4259328867463852</v>
      </c>
      <c r="M470">
        <v>0.29420918619110592</v>
      </c>
      <c r="N470">
        <v>0.2091046985353201</v>
      </c>
      <c r="O470">
        <v>14.40353891765492</v>
      </c>
      <c r="P470" s="3">
        <v>45.985480140737025</v>
      </c>
      <c r="Q470" s="3">
        <v>3.1224151970995471</v>
      </c>
    </row>
    <row r="471" spans="1:17" x14ac:dyDescent="0.3">
      <c r="A471" s="13">
        <v>75075</v>
      </c>
      <c r="B471" s="15" t="s">
        <v>160</v>
      </c>
      <c r="C471" s="15" t="s">
        <v>158</v>
      </c>
      <c r="D471" s="24">
        <v>1</v>
      </c>
      <c r="E471" s="1" t="s">
        <v>162</v>
      </c>
      <c r="F471">
        <v>0.29674567192113455</v>
      </c>
      <c r="G471">
        <v>5.7228674573243348</v>
      </c>
      <c r="H471">
        <v>4.3399417424309288</v>
      </c>
      <c r="I471">
        <v>17.594317860293263</v>
      </c>
      <c r="J471">
        <v>4.150751101438506E-2</v>
      </c>
      <c r="K471">
        <v>7.354220446885531</v>
      </c>
      <c r="L471">
        <v>8.0612427220935334</v>
      </c>
      <c r="M471">
        <v>0.389998223555652</v>
      </c>
      <c r="N471">
        <v>0.21684931699959123</v>
      </c>
      <c r="O471">
        <v>14.597866210121932</v>
      </c>
      <c r="P471" s="3">
        <v>47.389688369712204</v>
      </c>
      <c r="Q471" s="3">
        <v>4.4554233087851713</v>
      </c>
    </row>
    <row r="472" spans="1:17" x14ac:dyDescent="0.3">
      <c r="A472" s="13">
        <v>76537</v>
      </c>
      <c r="B472" s="15" t="s">
        <v>160</v>
      </c>
      <c r="C472" s="15" t="s">
        <v>158</v>
      </c>
      <c r="D472" s="24">
        <v>1</v>
      </c>
      <c r="E472" s="1" t="s">
        <v>162</v>
      </c>
      <c r="F472">
        <v>0.29674567192113455</v>
      </c>
      <c r="G472">
        <v>4.8303654724096861</v>
      </c>
      <c r="H472">
        <v>4.5992797246005823</v>
      </c>
      <c r="I472">
        <v>17.879454254947323</v>
      </c>
      <c r="J472">
        <v>4.150751101438506E-2</v>
      </c>
      <c r="K472">
        <v>7.6258048754391279</v>
      </c>
      <c r="L472">
        <v>7.8215031615851762</v>
      </c>
      <c r="M472">
        <v>0.25315674160630047</v>
      </c>
      <c r="N472">
        <v>0.2245939354638623</v>
      </c>
      <c r="O472">
        <v>15.23525972941373</v>
      </c>
      <c r="P472" s="3">
        <v>42.145765721485709</v>
      </c>
      <c r="Q472" s="3">
        <v>2.7769814396210766</v>
      </c>
    </row>
    <row r="473" spans="1:17" x14ac:dyDescent="0.3">
      <c r="A473" s="13">
        <v>71546</v>
      </c>
      <c r="B473" s="15" t="s">
        <v>160</v>
      </c>
      <c r="C473" s="15" t="s">
        <v>158</v>
      </c>
      <c r="D473" s="24">
        <v>1</v>
      </c>
      <c r="E473" s="1" t="s">
        <v>162</v>
      </c>
      <c r="F473">
        <v>0.29674567192113455</v>
      </c>
      <c r="G473">
        <v>5.0293692933703849</v>
      </c>
      <c r="H473">
        <v>4.7157171859828759</v>
      </c>
      <c r="I473">
        <v>18.295472929114727</v>
      </c>
      <c r="J473">
        <v>4.150751101438506E-2</v>
      </c>
      <c r="K473">
        <v>7.7115683791928946</v>
      </c>
      <c r="L473">
        <v>7.3899719526701313</v>
      </c>
      <c r="M473">
        <v>0.28052503799617073</v>
      </c>
      <c r="N473">
        <v>0.21684931699959123</v>
      </c>
      <c r="O473">
        <v>14.854378236178386</v>
      </c>
      <c r="P473" s="3">
        <v>43.755223864902028</v>
      </c>
      <c r="Q473" s="3">
        <v>2.9945008187526585</v>
      </c>
    </row>
    <row r="474" spans="1:17" x14ac:dyDescent="0.3">
      <c r="A474" s="13">
        <v>70215</v>
      </c>
      <c r="B474" s="15" t="s">
        <v>160</v>
      </c>
      <c r="C474" s="15" t="s">
        <v>158</v>
      </c>
      <c r="D474" s="24">
        <v>1</v>
      </c>
      <c r="E474" s="1" t="s">
        <v>162</v>
      </c>
      <c r="F474">
        <v>0.31158295551719128</v>
      </c>
      <c r="G474">
        <v>4.7700612842397776</v>
      </c>
      <c r="H474">
        <v>4.7686433047930086</v>
      </c>
      <c r="I474">
        <v>17.977615964582331</v>
      </c>
      <c r="J474">
        <v>4.150751101438506E-2</v>
      </c>
      <c r="K474">
        <v>7.8187727588851033</v>
      </c>
      <c r="L474">
        <v>7.479874287860766</v>
      </c>
      <c r="M474">
        <v>0.2668408898012356</v>
      </c>
      <c r="N474">
        <v>0.2245939354638623</v>
      </c>
      <c r="O474">
        <v>15.07979789544012</v>
      </c>
      <c r="P474" s="3">
        <v>42.089536798120292</v>
      </c>
      <c r="Q474" s="3">
        <v>2.821827567819168</v>
      </c>
    </row>
    <row r="475" spans="1:17" x14ac:dyDescent="0.3">
      <c r="A475" s="13">
        <v>70135</v>
      </c>
      <c r="B475" s="15" t="s">
        <v>160</v>
      </c>
      <c r="C475" s="15" t="s">
        <v>158</v>
      </c>
      <c r="D475" s="24">
        <v>1</v>
      </c>
      <c r="E475" s="1" t="s">
        <v>162</v>
      </c>
      <c r="F475">
        <v>0.29674567192113455</v>
      </c>
      <c r="G475">
        <v>6.0304188169908688</v>
      </c>
      <c r="H475">
        <v>3.9853367464030365</v>
      </c>
      <c r="I475">
        <v>17.613015328795168</v>
      </c>
      <c r="J475">
        <v>4.2337661234672752E-2</v>
      </c>
      <c r="K475">
        <v>7.0040194732243162</v>
      </c>
      <c r="L475">
        <v>8.2889953045764742</v>
      </c>
      <c r="M475">
        <v>0.4351559125989381</v>
      </c>
      <c r="N475">
        <v>0.201360080071049</v>
      </c>
      <c r="O475">
        <v>15.344083013195256</v>
      </c>
      <c r="P475" s="3">
        <v>47.451820590111382</v>
      </c>
      <c r="Q475" s="3">
        <v>5.3622665533888698</v>
      </c>
    </row>
    <row r="476" spans="1:17" x14ac:dyDescent="0.3">
      <c r="A476" s="13">
        <v>78568</v>
      </c>
      <c r="B476" s="15" t="s">
        <v>160</v>
      </c>
      <c r="C476" s="15" t="s">
        <v>158</v>
      </c>
      <c r="D476" s="24">
        <v>1</v>
      </c>
      <c r="E476" s="1" t="s">
        <v>162</v>
      </c>
      <c r="F476">
        <v>0.17062876135465238</v>
      </c>
      <c r="G476">
        <v>5.4876811234616909</v>
      </c>
      <c r="H476">
        <v>7.9918439403301251</v>
      </c>
      <c r="I476">
        <v>22.483705873541602</v>
      </c>
      <c r="J476">
        <v>4.9809013217262069E-2</v>
      </c>
      <c r="K476">
        <v>8.7907591347611316</v>
      </c>
      <c r="L476">
        <v>0.59934890127089469</v>
      </c>
      <c r="M476">
        <v>0.21894637111896256</v>
      </c>
      <c r="N476">
        <v>0.201360080071049</v>
      </c>
      <c r="O476">
        <v>11.193252046099884</v>
      </c>
      <c r="P476" s="3">
        <v>52.973800761328768</v>
      </c>
      <c r="Q476" s="3">
        <v>1.4017296381533018</v>
      </c>
    </row>
    <row r="477" spans="1:17" x14ac:dyDescent="0.3">
      <c r="A477" s="13">
        <v>71055</v>
      </c>
      <c r="B477" s="15" t="s">
        <v>160</v>
      </c>
      <c r="C477" s="15" t="s">
        <v>158</v>
      </c>
      <c r="D477" s="24">
        <v>1</v>
      </c>
      <c r="E477" s="1" t="s">
        <v>162</v>
      </c>
      <c r="F477">
        <v>0.22997789573887928</v>
      </c>
      <c r="G477">
        <v>5.4514986105597449</v>
      </c>
      <c r="H477">
        <v>4.5622314414334886</v>
      </c>
      <c r="I477">
        <v>17.828036216567085</v>
      </c>
      <c r="J477">
        <v>4.9809013217262069E-2</v>
      </c>
      <c r="K477">
        <v>7.6972744619005997</v>
      </c>
      <c r="L477">
        <v>8.0372687660426987</v>
      </c>
      <c r="M477">
        <v>0.28052503799617073</v>
      </c>
      <c r="N477">
        <v>0.201360080071049</v>
      </c>
      <c r="O477">
        <v>14.92433606146651</v>
      </c>
      <c r="P477" s="3">
        <v>45.631052244992112</v>
      </c>
      <c r="Q477" s="3">
        <v>3.0921287803722857</v>
      </c>
    </row>
    <row r="478" spans="1:17" x14ac:dyDescent="0.3">
      <c r="A478" s="13">
        <v>70035</v>
      </c>
      <c r="B478" s="15" t="s">
        <v>160</v>
      </c>
      <c r="C478" s="15" t="s">
        <v>158</v>
      </c>
      <c r="D478" s="24">
        <v>1</v>
      </c>
      <c r="E478" s="1" t="s">
        <v>162</v>
      </c>
      <c r="F478">
        <v>0.2596524629309927</v>
      </c>
      <c r="G478">
        <v>5.9640842100039695</v>
      </c>
      <c r="H478">
        <v>4.6839615146967954</v>
      </c>
      <c r="I478">
        <v>17.687805202802792</v>
      </c>
      <c r="J478">
        <v>4.9809013217262069E-2</v>
      </c>
      <c r="K478">
        <v>7.1969873566702924</v>
      </c>
      <c r="L478">
        <v>7.7735552494835041</v>
      </c>
      <c r="M478">
        <v>0.41736651994552237</v>
      </c>
      <c r="N478">
        <v>0.21684931699959123</v>
      </c>
      <c r="O478">
        <v>14.349127275764156</v>
      </c>
      <c r="P478" s="3">
        <v>48.849310679805221</v>
      </c>
      <c r="Q478" s="3">
        <v>4.4195452556537997</v>
      </c>
    </row>
    <row r="479" spans="1:17" x14ac:dyDescent="0.3">
      <c r="A479" s="13">
        <v>70135</v>
      </c>
      <c r="B479" s="15" t="s">
        <v>160</v>
      </c>
      <c r="C479" s="15" t="s">
        <v>158</v>
      </c>
      <c r="D479" s="24">
        <v>1</v>
      </c>
      <c r="E479" s="1" t="s">
        <v>162</v>
      </c>
      <c r="F479">
        <v>0.26707110472902107</v>
      </c>
      <c r="G479">
        <v>5.6987457820563705</v>
      </c>
      <c r="H479">
        <v>4.6998393503398361</v>
      </c>
      <c r="I479">
        <v>18.043057104338999</v>
      </c>
      <c r="J479">
        <v>4.9809013217262069E-2</v>
      </c>
      <c r="K479">
        <v>7.0183133905166111</v>
      </c>
      <c r="L479">
        <v>7.9893208539410265</v>
      </c>
      <c r="M479">
        <v>0.33526163077591142</v>
      </c>
      <c r="N479">
        <v>0.2245939354638623</v>
      </c>
      <c r="O479">
        <v>14.745554952396859</v>
      </c>
      <c r="P479" s="3">
        <v>47.033546439598155</v>
      </c>
      <c r="Q479" s="3">
        <v>3.5695957056899617</v>
      </c>
    </row>
    <row r="480" spans="1:17" x14ac:dyDescent="0.3">
      <c r="A480" s="13">
        <v>74245</v>
      </c>
      <c r="B480" s="15" t="s">
        <v>160</v>
      </c>
      <c r="C480" s="15" t="s">
        <v>158</v>
      </c>
      <c r="D480" s="24">
        <v>1</v>
      </c>
      <c r="E480" s="1" t="s">
        <v>162</v>
      </c>
      <c r="F480">
        <v>0.26707110472902107</v>
      </c>
      <c r="G480">
        <v>5.8193541583961892</v>
      </c>
      <c r="H480">
        <v>4.615157560243623</v>
      </c>
      <c r="I480">
        <v>18.038382737213524</v>
      </c>
      <c r="J480">
        <v>4.9809013217262069E-2</v>
      </c>
      <c r="K480">
        <v>7.5686292062699492</v>
      </c>
      <c r="L480">
        <v>7.1442389031490645</v>
      </c>
      <c r="M480">
        <v>0.36947200126324931</v>
      </c>
      <c r="N480">
        <v>0.2091046985353201</v>
      </c>
      <c r="O480">
        <v>14.038203607816936</v>
      </c>
      <c r="P480" s="3">
        <v>48.782859237367042</v>
      </c>
      <c r="Q480" s="3">
        <v>3.9886134123351882</v>
      </c>
    </row>
    <row r="481" spans="1:17" x14ac:dyDescent="0.3">
      <c r="A481" s="13">
        <v>79155</v>
      </c>
      <c r="B481" s="15" t="s">
        <v>160</v>
      </c>
      <c r="C481" s="15" t="s">
        <v>158</v>
      </c>
      <c r="D481" s="24">
        <v>1</v>
      </c>
      <c r="E481" s="1" t="s">
        <v>162</v>
      </c>
      <c r="F481">
        <v>0.28190838832507781</v>
      </c>
      <c r="G481">
        <v>5.5118027987296543</v>
      </c>
      <c r="H481">
        <v>4.5410609939094355</v>
      </c>
      <c r="I481">
        <v>17.528876720536591</v>
      </c>
      <c r="J481">
        <v>4.9809013217262069E-2</v>
      </c>
      <c r="K481">
        <v>7.354220446885531</v>
      </c>
      <c r="L481">
        <v>7.7855422275089223</v>
      </c>
      <c r="M481">
        <v>0.31473540848350867</v>
      </c>
      <c r="N481">
        <v>0.21684931699959123</v>
      </c>
      <c r="O481">
        <v>14.799966594287623</v>
      </c>
      <c r="P481" s="3">
        <v>46.111983525882849</v>
      </c>
      <c r="Q481" s="3">
        <v>3.4717381247788253</v>
      </c>
    </row>
    <row r="482" spans="1:17" x14ac:dyDescent="0.3">
      <c r="A482" s="13">
        <v>78599</v>
      </c>
      <c r="B482" s="15" t="s">
        <v>160</v>
      </c>
      <c r="C482" s="15" t="s">
        <v>158</v>
      </c>
      <c r="D482" s="24">
        <v>1</v>
      </c>
      <c r="E482" s="1" t="s">
        <v>162</v>
      </c>
      <c r="F482">
        <v>0.28190838832507781</v>
      </c>
      <c r="G482">
        <v>5.1077647379912667</v>
      </c>
      <c r="H482">
        <v>4.5886945008385558</v>
      </c>
      <c r="I482">
        <v>17.968267230331374</v>
      </c>
      <c r="J482">
        <v>4.9809013217262069E-2</v>
      </c>
      <c r="K482">
        <v>7.4900126611623303</v>
      </c>
      <c r="L482">
        <v>7.5038482439116008</v>
      </c>
      <c r="M482">
        <v>0.29420918619110592</v>
      </c>
      <c r="N482">
        <v>0.21684931699959123</v>
      </c>
      <c r="O482">
        <v>14.877697511274429</v>
      </c>
      <c r="P482" s="3">
        <v>44.097562002167571</v>
      </c>
      <c r="Q482" s="3">
        <v>3.2200074110531505</v>
      </c>
    </row>
    <row r="483" spans="1:17" x14ac:dyDescent="0.3">
      <c r="A483" s="13">
        <v>76136</v>
      </c>
      <c r="B483" s="15" t="s">
        <v>160</v>
      </c>
      <c r="C483" s="15" t="s">
        <v>158</v>
      </c>
      <c r="D483" s="24">
        <v>1</v>
      </c>
      <c r="E483" s="1" t="s">
        <v>162</v>
      </c>
      <c r="F483">
        <v>0.28190838832507781</v>
      </c>
      <c r="G483">
        <v>5.1921906014291377</v>
      </c>
      <c r="H483">
        <v>4.5781092770765293</v>
      </c>
      <c r="I483">
        <v>18.043057104338999</v>
      </c>
      <c r="J483">
        <v>4.9809013217262069E-2</v>
      </c>
      <c r="K483">
        <v>7.5257474543930654</v>
      </c>
      <c r="L483">
        <v>7.5757701120641094</v>
      </c>
      <c r="M483">
        <v>0.30105126028857349</v>
      </c>
      <c r="N483">
        <v>0.21684931699959123</v>
      </c>
      <c r="O483">
        <v>14.862151327877068</v>
      </c>
      <c r="P483" s="3">
        <v>44.527900632003124</v>
      </c>
      <c r="Q483" s="3">
        <v>3.2997871551360558</v>
      </c>
    </row>
    <row r="484" spans="1:17" x14ac:dyDescent="0.3">
      <c r="A484" s="13">
        <v>76539</v>
      </c>
      <c r="B484" s="15" t="s">
        <v>160</v>
      </c>
      <c r="C484" s="15" t="s">
        <v>158</v>
      </c>
      <c r="D484" s="24">
        <v>1</v>
      </c>
      <c r="E484" s="1" t="s">
        <v>162</v>
      </c>
      <c r="F484">
        <v>0.28932703012310618</v>
      </c>
      <c r="G484">
        <v>4.7459396089718142</v>
      </c>
      <c r="H484">
        <v>4.6574984552917291</v>
      </c>
      <c r="I484">
        <v>17.860756786445418</v>
      </c>
      <c r="J484">
        <v>4.9809013217262069E-2</v>
      </c>
      <c r="K484">
        <v>7.7973318829466622</v>
      </c>
      <c r="L484">
        <v>7.5817636010768181</v>
      </c>
      <c r="M484">
        <v>0.23263051931389772</v>
      </c>
      <c r="N484">
        <v>0.2245939354638623</v>
      </c>
      <c r="O484">
        <v>15.095344078837483</v>
      </c>
      <c r="P484" s="3">
        <v>41.94092324224097</v>
      </c>
      <c r="Q484" s="3">
        <v>2.5264173911286822</v>
      </c>
    </row>
    <row r="485" spans="1:17" x14ac:dyDescent="0.3">
      <c r="A485" s="13">
        <v>71577</v>
      </c>
      <c r="B485" s="15" t="s">
        <v>160</v>
      </c>
      <c r="C485" s="15" t="s">
        <v>158</v>
      </c>
      <c r="D485" s="24">
        <v>1</v>
      </c>
      <c r="E485" s="1" t="s">
        <v>162</v>
      </c>
      <c r="F485">
        <v>0.28932703012310618</v>
      </c>
      <c r="G485">
        <v>4.9147913358475588</v>
      </c>
      <c r="H485">
        <v>4.7210097978638892</v>
      </c>
      <c r="I485">
        <v>18.314170397616632</v>
      </c>
      <c r="J485">
        <v>4.9809013217262069E-2</v>
      </c>
      <c r="K485">
        <v>7.8259197175312503</v>
      </c>
      <c r="L485">
        <v>7.2161607713015714</v>
      </c>
      <c r="M485">
        <v>0.28052503799617073</v>
      </c>
      <c r="N485">
        <v>0.21684931699959123</v>
      </c>
      <c r="O485">
        <v>14.691143310506096</v>
      </c>
      <c r="P485" s="3">
        <v>43.460239942247831</v>
      </c>
      <c r="Q485" s="3">
        <v>2.9912441730267614</v>
      </c>
    </row>
    <row r="486" spans="1:17" x14ac:dyDescent="0.3">
      <c r="A486" s="13">
        <v>71569</v>
      </c>
      <c r="B486" s="15" t="s">
        <v>160</v>
      </c>
      <c r="C486" s="15" t="s">
        <v>158</v>
      </c>
      <c r="D486" s="24">
        <v>1</v>
      </c>
      <c r="E486" s="1" t="s">
        <v>162</v>
      </c>
      <c r="F486">
        <v>0.30416431371916292</v>
      </c>
      <c r="G486">
        <v>4.6193008138150056</v>
      </c>
      <c r="H486">
        <v>4.8056915879601023</v>
      </c>
      <c r="I486">
        <v>18.683445400529269</v>
      </c>
      <c r="J486">
        <v>4.9809013217262069E-2</v>
      </c>
      <c r="K486">
        <v>8.0546223942079624</v>
      </c>
      <c r="L486">
        <v>6.9344667877042516</v>
      </c>
      <c r="M486">
        <v>0.24631466750883285</v>
      </c>
      <c r="N486">
        <v>0.21684931699959123</v>
      </c>
      <c r="O486">
        <v>14.652277852012695</v>
      </c>
      <c r="P486" s="3">
        <v>42.007767243804587</v>
      </c>
      <c r="Q486" s="3">
        <v>2.5908271321684944</v>
      </c>
    </row>
    <row r="487" spans="1:17" x14ac:dyDescent="0.3">
      <c r="A487" s="13">
        <v>75055</v>
      </c>
      <c r="B487" s="15" t="s">
        <v>160</v>
      </c>
      <c r="C487" s="15" t="s">
        <v>158</v>
      </c>
      <c r="D487" s="24">
        <v>1</v>
      </c>
      <c r="E487" s="1" t="s">
        <v>162</v>
      </c>
      <c r="F487">
        <v>0.31158295551719128</v>
      </c>
      <c r="G487">
        <v>4.3780840611353709</v>
      </c>
      <c r="H487">
        <v>5.0703221820107682</v>
      </c>
      <c r="I487">
        <v>18.664747932027364</v>
      </c>
      <c r="J487">
        <v>4.9809013217262069E-2</v>
      </c>
      <c r="K487">
        <v>8.8622287212226034</v>
      </c>
      <c r="L487">
        <v>6.8385709635009082</v>
      </c>
      <c r="M487">
        <v>0.21210429702149497</v>
      </c>
      <c r="N487">
        <v>0.2091046985353201</v>
      </c>
      <c r="O487">
        <v>13.812783948555202</v>
      </c>
      <c r="P487" s="3">
        <v>42.138621435411729</v>
      </c>
      <c r="Q487" s="3">
        <v>2.1246693630174311</v>
      </c>
    </row>
    <row r="488" spans="1:17" x14ac:dyDescent="0.3">
      <c r="A488" s="13">
        <v>76503</v>
      </c>
      <c r="B488" s="15" t="s">
        <v>160</v>
      </c>
      <c r="C488" s="15" t="s">
        <v>158</v>
      </c>
      <c r="D488" s="24">
        <v>1</v>
      </c>
      <c r="E488" s="1" t="s">
        <v>162</v>
      </c>
      <c r="F488">
        <v>0.33383888091127639</v>
      </c>
      <c r="G488">
        <v>3.4614604009527588</v>
      </c>
      <c r="H488">
        <v>5.3455379998234616</v>
      </c>
      <c r="I488">
        <v>18.183288118103292</v>
      </c>
      <c r="J488">
        <v>4.9809013217262069E-2</v>
      </c>
      <c r="K488">
        <v>8.0760632701464061</v>
      </c>
      <c r="L488">
        <v>7.9713403869028996</v>
      </c>
      <c r="M488">
        <v>0.41052444584805475</v>
      </c>
      <c r="N488">
        <v>0.201360080071049</v>
      </c>
      <c r="O488">
        <v>15.002066978453316</v>
      </c>
      <c r="P488" s="3">
        <v>34.64683471671573</v>
      </c>
      <c r="Q488" s="3">
        <v>3.8324827542786579</v>
      </c>
    </row>
    <row r="489" spans="1:17" x14ac:dyDescent="0.3">
      <c r="A489" s="13">
        <v>75015</v>
      </c>
      <c r="B489" s="15" t="s">
        <v>160</v>
      </c>
      <c r="C489" s="15" t="s">
        <v>158</v>
      </c>
      <c r="D489" s="24">
        <v>1</v>
      </c>
      <c r="E489" s="1" t="s">
        <v>162</v>
      </c>
      <c r="F489">
        <v>0.35609480630536144</v>
      </c>
      <c r="G489">
        <v>3.738859666534339</v>
      </c>
      <c r="H489">
        <v>5.3243675522994085</v>
      </c>
      <c r="I489">
        <v>19.594946989997172</v>
      </c>
      <c r="J489">
        <v>4.9809013217262069E-2</v>
      </c>
      <c r="K489">
        <v>8.683554755068922</v>
      </c>
      <c r="L489">
        <v>5.7297754961497533</v>
      </c>
      <c r="M489">
        <v>0.11631525965694886</v>
      </c>
      <c r="N489">
        <v>0.2245939354638623</v>
      </c>
      <c r="O489">
        <v>14.590093118423249</v>
      </c>
      <c r="P489" s="3">
        <v>37.059521695479233</v>
      </c>
      <c r="Q489" s="3">
        <v>1.1209268092970155</v>
      </c>
    </row>
    <row r="490" spans="1:17" x14ac:dyDescent="0.3">
      <c r="A490" s="13">
        <v>75035</v>
      </c>
      <c r="B490" s="15" t="s">
        <v>160</v>
      </c>
      <c r="C490" s="15" t="s">
        <v>158</v>
      </c>
      <c r="D490" s="24">
        <v>1</v>
      </c>
      <c r="E490" s="1" t="s">
        <v>162</v>
      </c>
      <c r="F490">
        <v>0.39318801529550329</v>
      </c>
      <c r="G490">
        <v>3.7871030170702658</v>
      </c>
      <c r="H490">
        <v>5.4513902374437286</v>
      </c>
      <c r="I490">
        <v>19.777247307890754</v>
      </c>
      <c r="J490">
        <v>5.0639163437549768E-2</v>
      </c>
      <c r="K490">
        <v>8.683554755068922</v>
      </c>
      <c r="L490">
        <v>5.3641726663745066</v>
      </c>
      <c r="M490">
        <v>0.14163093381757891</v>
      </c>
      <c r="N490">
        <v>0.20290900376390322</v>
      </c>
      <c r="O490">
        <v>14.43463128444964</v>
      </c>
      <c r="P490" s="3">
        <v>37.61009434943702</v>
      </c>
      <c r="Q490" s="3">
        <v>1.3302675583402923</v>
      </c>
    </row>
    <row r="491" spans="1:17" x14ac:dyDescent="0.3">
      <c r="A491" s="13">
        <v>70017</v>
      </c>
      <c r="B491" s="15" t="s">
        <v>160</v>
      </c>
      <c r="C491" s="15" t="s">
        <v>158</v>
      </c>
      <c r="D491" s="24">
        <v>1</v>
      </c>
      <c r="E491" s="1" t="s">
        <v>162</v>
      </c>
      <c r="F491">
        <v>0.24481517933493602</v>
      </c>
      <c r="G491">
        <v>6.1269055180627232</v>
      </c>
      <c r="H491">
        <v>4.5198905463853816</v>
      </c>
      <c r="I491">
        <v>18.136544446848525</v>
      </c>
      <c r="J491">
        <v>5.8110515420139085E-2</v>
      </c>
      <c r="K491">
        <v>7.5471883303315082</v>
      </c>
      <c r="L491">
        <v>7.6956398923182876</v>
      </c>
      <c r="M491">
        <v>0.33526163077591142</v>
      </c>
      <c r="N491">
        <v>0.18587084314250674</v>
      </c>
      <c r="O491">
        <v>14.084842158009021</v>
      </c>
      <c r="P491" s="3">
        <v>49.98721309169035</v>
      </c>
      <c r="Q491" s="3">
        <v>3.7064433433378086</v>
      </c>
    </row>
    <row r="492" spans="1:17" x14ac:dyDescent="0.3">
      <c r="A492" s="13">
        <v>70017</v>
      </c>
      <c r="B492" s="15" t="s">
        <v>160</v>
      </c>
      <c r="C492" s="15" t="s">
        <v>158</v>
      </c>
      <c r="D492" s="24">
        <v>1</v>
      </c>
      <c r="E492" s="1" t="s">
        <v>162</v>
      </c>
      <c r="F492">
        <v>0.25223382113296439</v>
      </c>
      <c r="G492">
        <v>6.3017876637554577</v>
      </c>
      <c r="H492">
        <v>3.9165327919498631</v>
      </c>
      <c r="I492">
        <v>18.080452041342809</v>
      </c>
      <c r="J492">
        <v>5.8110515420139085E-2</v>
      </c>
      <c r="K492">
        <v>7.1826934393779984</v>
      </c>
      <c r="L492">
        <v>8.2410473924748011</v>
      </c>
      <c r="M492">
        <v>0.33526163077591142</v>
      </c>
      <c r="N492">
        <v>0.19361546160677787</v>
      </c>
      <c r="O492">
        <v>14.590093118423249</v>
      </c>
      <c r="P492" s="3">
        <v>49.809713667016283</v>
      </c>
      <c r="Q492" s="3">
        <v>4.2531507892420928</v>
      </c>
    </row>
    <row r="493" spans="1:17" x14ac:dyDescent="0.3">
      <c r="A493" s="13">
        <v>74275</v>
      </c>
      <c r="B493" s="15" t="s">
        <v>160</v>
      </c>
      <c r="C493" s="15" t="s">
        <v>158</v>
      </c>
      <c r="D493" s="24">
        <v>1</v>
      </c>
      <c r="E493" s="1" t="s">
        <v>162</v>
      </c>
      <c r="F493">
        <v>0.2596524629309927</v>
      </c>
      <c r="G493">
        <v>6.2475138944025401</v>
      </c>
      <c r="H493">
        <v>4.615157560243623</v>
      </c>
      <c r="I493">
        <v>17.9635928632059</v>
      </c>
      <c r="J493">
        <v>5.8110515420139085E-2</v>
      </c>
      <c r="K493">
        <v>7.3756613228239738</v>
      </c>
      <c r="L493">
        <v>7.6117310461403624</v>
      </c>
      <c r="M493">
        <v>0.44473481633539269</v>
      </c>
      <c r="N493">
        <v>0.201360080071049</v>
      </c>
      <c r="O493">
        <v>14.100388341406381</v>
      </c>
      <c r="P493" s="3">
        <v>50.446967450046714</v>
      </c>
      <c r="Q493" s="3">
        <v>4.7624143431872312</v>
      </c>
    </row>
    <row r="494" spans="1:17" x14ac:dyDescent="0.3">
      <c r="A494" s="13">
        <v>72155</v>
      </c>
      <c r="B494" s="15" t="s">
        <v>160</v>
      </c>
      <c r="C494" s="15" t="s">
        <v>158</v>
      </c>
      <c r="D494" s="24">
        <v>1</v>
      </c>
      <c r="E494" s="1" t="s">
        <v>162</v>
      </c>
      <c r="F494">
        <v>0.29674567192113455</v>
      </c>
      <c r="G494">
        <v>5.1077647379912667</v>
      </c>
      <c r="H494">
        <v>4.572816665195516</v>
      </c>
      <c r="I494">
        <v>18.075777674217335</v>
      </c>
      <c r="J494">
        <v>5.8110515420139085E-2</v>
      </c>
      <c r="K494">
        <v>7.6400987927314219</v>
      </c>
      <c r="L494">
        <v>7.3839784636574226</v>
      </c>
      <c r="M494">
        <v>0.29420918619110592</v>
      </c>
      <c r="N494">
        <v>0.21684931699959123</v>
      </c>
      <c r="O494">
        <v>14.590093118423249</v>
      </c>
      <c r="P494" s="3">
        <v>44.579314444083785</v>
      </c>
      <c r="Q494" s="3">
        <v>3.2308267671285438</v>
      </c>
    </row>
    <row r="495" spans="1:17" x14ac:dyDescent="0.3">
      <c r="A495" s="13">
        <v>74235</v>
      </c>
      <c r="B495" s="15" t="s">
        <v>160</v>
      </c>
      <c r="C495" s="15" t="s">
        <v>158</v>
      </c>
      <c r="D495" s="24">
        <v>1</v>
      </c>
      <c r="E495" s="1" t="s">
        <v>162</v>
      </c>
      <c r="F495">
        <v>0.29674567192113455</v>
      </c>
      <c r="G495">
        <v>5.0353997121873757</v>
      </c>
      <c r="H495">
        <v>4.5569388295524753</v>
      </c>
      <c r="I495">
        <v>18.052405838589952</v>
      </c>
      <c r="J495">
        <v>5.8110515420139085E-2</v>
      </c>
      <c r="K495">
        <v>7.6472457513775689</v>
      </c>
      <c r="L495">
        <v>7.2940761284667879</v>
      </c>
      <c r="M495">
        <v>0.34894577897084655</v>
      </c>
      <c r="N495">
        <v>0.21684931699959123</v>
      </c>
      <c r="O495">
        <v>15.009840070151995</v>
      </c>
      <c r="P495" s="3">
        <v>43.528623266760199</v>
      </c>
      <c r="Q495" s="3">
        <v>3.8217800432066018</v>
      </c>
    </row>
    <row r="496" spans="1:17" x14ac:dyDescent="0.3">
      <c r="A496" s="13">
        <v>75055</v>
      </c>
      <c r="B496" s="15" t="s">
        <v>160</v>
      </c>
      <c r="C496" s="15" t="s">
        <v>158</v>
      </c>
      <c r="D496" s="24">
        <v>1</v>
      </c>
      <c r="E496" s="1" t="s">
        <v>162</v>
      </c>
      <c r="F496">
        <v>0.43028122428564508</v>
      </c>
      <c r="G496">
        <v>3.4674908197697496</v>
      </c>
      <c r="H496">
        <v>5.4408050136817012</v>
      </c>
      <c r="I496">
        <v>19.403297937852638</v>
      </c>
      <c r="J496">
        <v>5.8110515420139085E-2</v>
      </c>
      <c r="K496">
        <v>9.1695479430069362</v>
      </c>
      <c r="L496">
        <v>6.2811764853189764</v>
      </c>
      <c r="M496">
        <v>0.2668408898012356</v>
      </c>
      <c r="N496">
        <v>0.19361546160677787</v>
      </c>
      <c r="O496">
        <v>13.882741773843327</v>
      </c>
      <c r="P496" s="3">
        <v>36.463162799010327</v>
      </c>
      <c r="Q496" s="3">
        <v>2.4818686414418982</v>
      </c>
    </row>
    <row r="497" spans="1:17" x14ac:dyDescent="0.3">
      <c r="A497" s="13">
        <v>74275</v>
      </c>
      <c r="B497" s="15" t="s">
        <v>160</v>
      </c>
      <c r="C497" s="15" t="s">
        <v>158</v>
      </c>
      <c r="D497" s="24">
        <v>1</v>
      </c>
      <c r="E497" s="1" t="s">
        <v>162</v>
      </c>
      <c r="F497">
        <v>0.27448974652704944</v>
      </c>
      <c r="G497">
        <v>6.1872097062326317</v>
      </c>
      <c r="H497">
        <v>4.5040127107423427</v>
      </c>
      <c r="I497">
        <v>17.9635928632059</v>
      </c>
      <c r="J497">
        <v>6.2261266521577582E-2</v>
      </c>
      <c r="K497">
        <v>7.4185430747008576</v>
      </c>
      <c r="L497">
        <v>7.5877570900895268</v>
      </c>
      <c r="M497">
        <v>0.43720853482817834</v>
      </c>
      <c r="N497">
        <v>0.19129207606749654</v>
      </c>
      <c r="O497">
        <v>14.185892350091866</v>
      </c>
      <c r="P497" s="3">
        <v>50.053353525626932</v>
      </c>
      <c r="Q497" s="3">
        <v>4.7956766966276003</v>
      </c>
    </row>
    <row r="498" spans="1:17" x14ac:dyDescent="0.3">
      <c r="A498" s="13">
        <v>70215</v>
      </c>
      <c r="B498" s="15" t="s">
        <v>160</v>
      </c>
      <c r="C498" s="15" t="s">
        <v>158</v>
      </c>
      <c r="D498" s="24">
        <v>1</v>
      </c>
      <c r="E498" s="1" t="s">
        <v>162</v>
      </c>
      <c r="F498">
        <v>0.22997789573887928</v>
      </c>
      <c r="G498">
        <v>5.6324111750694712</v>
      </c>
      <c r="H498">
        <v>4.652205843410715</v>
      </c>
      <c r="I498">
        <v>17.58496912604231</v>
      </c>
      <c r="J498">
        <v>6.6412017623016087E-2</v>
      </c>
      <c r="K498">
        <v>7.7330092551313365</v>
      </c>
      <c r="L498">
        <v>7.9114054967758092</v>
      </c>
      <c r="M498">
        <v>0.28052503799617073</v>
      </c>
      <c r="N498">
        <v>0.2091046985353201</v>
      </c>
      <c r="O498">
        <v>14.93988224486387</v>
      </c>
      <c r="P498" s="3">
        <v>46.416187021476546</v>
      </c>
      <c r="Q498" s="3">
        <v>3.034141002255704</v>
      </c>
    </row>
    <row r="499" spans="1:17" x14ac:dyDescent="0.3">
      <c r="A499" s="13">
        <v>79155</v>
      </c>
      <c r="B499" s="15" t="s">
        <v>160</v>
      </c>
      <c r="C499" s="15" t="s">
        <v>158</v>
      </c>
      <c r="D499" s="24">
        <v>1</v>
      </c>
      <c r="E499" s="1" t="s">
        <v>162</v>
      </c>
      <c r="F499">
        <v>0.26707110472902107</v>
      </c>
      <c r="G499">
        <v>5.7771412266772524</v>
      </c>
      <c r="H499">
        <v>4.9750551681525286</v>
      </c>
      <c r="I499">
        <v>18.290798561989252</v>
      </c>
      <c r="J499">
        <v>6.6412017623016087E-2</v>
      </c>
      <c r="K499">
        <v>7.2827508604240592</v>
      </c>
      <c r="L499">
        <v>7.5278221999624373</v>
      </c>
      <c r="M499">
        <v>0.34210370487337899</v>
      </c>
      <c r="N499">
        <v>0.2091046985353201</v>
      </c>
      <c r="O499">
        <v>14.139253799899784</v>
      </c>
      <c r="P499" s="3">
        <v>48.421823941894608</v>
      </c>
      <c r="Q499" s="3">
        <v>3.445380076504529</v>
      </c>
    </row>
    <row r="500" spans="1:17" x14ac:dyDescent="0.3">
      <c r="A500" s="13">
        <v>74255</v>
      </c>
      <c r="B500" s="15" t="s">
        <v>160</v>
      </c>
      <c r="C500" s="15" t="s">
        <v>158</v>
      </c>
      <c r="D500" s="24">
        <v>1</v>
      </c>
      <c r="E500" s="1" t="s">
        <v>162</v>
      </c>
      <c r="F500">
        <v>0.26707110472902107</v>
      </c>
      <c r="G500">
        <v>6.3319397578404129</v>
      </c>
      <c r="H500">
        <v>4.5251831582663957</v>
      </c>
      <c r="I500">
        <v>17.743897608308508</v>
      </c>
      <c r="J500">
        <v>6.6412017623016087E-2</v>
      </c>
      <c r="K500">
        <v>7.3971021987624148</v>
      </c>
      <c r="L500">
        <v>7.2940761284667879</v>
      </c>
      <c r="M500">
        <v>0.39684029765311962</v>
      </c>
      <c r="N500">
        <v>0.2091046985353201</v>
      </c>
      <c r="O500">
        <v>14.077069066310338</v>
      </c>
      <c r="P500" s="3">
        <v>50.823859613871214</v>
      </c>
      <c r="Q500" s="3">
        <v>4.3526787858296849</v>
      </c>
    </row>
    <row r="501" spans="1:17" x14ac:dyDescent="0.3">
      <c r="A501" s="13">
        <v>74235</v>
      </c>
      <c r="B501" s="15" t="s">
        <v>160</v>
      </c>
      <c r="C501" s="15" t="s">
        <v>158</v>
      </c>
      <c r="D501" s="24">
        <v>1</v>
      </c>
      <c r="E501" s="1" t="s">
        <v>162</v>
      </c>
      <c r="F501">
        <v>0.27448974652704944</v>
      </c>
      <c r="G501">
        <v>5.2283731143310836</v>
      </c>
      <c r="H501">
        <v>4.8744955424132757</v>
      </c>
      <c r="I501">
        <v>18.426355208628067</v>
      </c>
      <c r="J501">
        <v>6.6412017623016087E-2</v>
      </c>
      <c r="K501">
        <v>7.7544501310697784</v>
      </c>
      <c r="L501">
        <v>7.4259328867463852</v>
      </c>
      <c r="M501">
        <v>0.32157748258097624</v>
      </c>
      <c r="N501">
        <v>0.2091046985353201</v>
      </c>
      <c r="O501">
        <v>14.41908510105228</v>
      </c>
      <c r="P501" s="3">
        <v>45.448767184889824</v>
      </c>
      <c r="Q501" s="3">
        <v>3.3101011289068429</v>
      </c>
    </row>
    <row r="502" spans="1:17" x14ac:dyDescent="0.3">
      <c r="A502" s="13">
        <v>75035</v>
      </c>
      <c r="B502" s="15" t="s">
        <v>160</v>
      </c>
      <c r="C502" s="15" t="s">
        <v>158</v>
      </c>
      <c r="D502" s="24">
        <v>1</v>
      </c>
      <c r="E502" s="1" t="s">
        <v>162</v>
      </c>
      <c r="F502">
        <v>0.28932703012310618</v>
      </c>
      <c r="G502">
        <v>3.7690117606192932</v>
      </c>
      <c r="H502">
        <v>5.3190749404183952</v>
      </c>
      <c r="I502">
        <v>19.917478321655047</v>
      </c>
      <c r="J502">
        <v>6.6412017623016087E-2</v>
      </c>
      <c r="K502">
        <v>8.9551391836225172</v>
      </c>
      <c r="L502">
        <v>5.7477559631878803</v>
      </c>
      <c r="M502">
        <v>0.17789392653415709</v>
      </c>
      <c r="N502">
        <v>0.2091046985353201</v>
      </c>
      <c r="O502">
        <v>14.053749791214296</v>
      </c>
      <c r="P502" s="3">
        <v>38.126591781492081</v>
      </c>
      <c r="Q502" s="3">
        <v>1.705911954362451</v>
      </c>
    </row>
    <row r="503" spans="1:17" x14ac:dyDescent="0.3">
      <c r="A503" s="13">
        <v>74275</v>
      </c>
      <c r="B503" s="15" t="s">
        <v>160</v>
      </c>
      <c r="C503" s="15" t="s">
        <v>158</v>
      </c>
      <c r="D503" s="24">
        <v>1</v>
      </c>
      <c r="E503" s="1" t="s">
        <v>162</v>
      </c>
      <c r="F503">
        <v>0.24481517933493602</v>
      </c>
      <c r="G503">
        <v>6.3078180825724495</v>
      </c>
      <c r="H503">
        <v>4.7263024097449016</v>
      </c>
      <c r="I503">
        <v>17.968267230331374</v>
      </c>
      <c r="J503">
        <v>7.4713519825893096E-2</v>
      </c>
      <c r="K503">
        <v>7.33277957094709</v>
      </c>
      <c r="L503">
        <v>7.6416984912039077</v>
      </c>
      <c r="M503">
        <v>0.44473481633539269</v>
      </c>
      <c r="N503">
        <v>0.2091046985353201</v>
      </c>
      <c r="O503">
        <v>14.014884332720897</v>
      </c>
      <c r="P503" s="3">
        <v>50.839116297201564</v>
      </c>
      <c r="Q503" s="3">
        <v>4.6556343110631486</v>
      </c>
    </row>
    <row r="504" spans="1:17" x14ac:dyDescent="0.3">
      <c r="A504" s="13">
        <v>70135</v>
      </c>
      <c r="B504" s="15" t="s">
        <v>160</v>
      </c>
      <c r="C504" s="15" t="s">
        <v>158</v>
      </c>
      <c r="D504" s="24">
        <v>1</v>
      </c>
      <c r="E504" s="1" t="s">
        <v>162</v>
      </c>
      <c r="F504">
        <v>0.25223382113296439</v>
      </c>
      <c r="G504">
        <v>5.602259080984517</v>
      </c>
      <c r="H504">
        <v>3.8847771206637827</v>
      </c>
      <c r="I504">
        <v>17.692479569928267</v>
      </c>
      <c r="J504">
        <v>7.4713519825893096E-2</v>
      </c>
      <c r="K504">
        <v>7.2756039017779113</v>
      </c>
      <c r="L504">
        <v>7.9953143429537352</v>
      </c>
      <c r="M504">
        <v>0.37631407536071693</v>
      </c>
      <c r="N504">
        <v>0.2245939354638623</v>
      </c>
      <c r="O504">
        <v>15.297444463003174</v>
      </c>
      <c r="P504" s="3">
        <v>45.69523485432984</v>
      </c>
      <c r="Q504" s="3">
        <v>4.7861749639177695</v>
      </c>
    </row>
    <row r="505" spans="1:17" x14ac:dyDescent="0.3">
      <c r="A505" s="13">
        <v>75055</v>
      </c>
      <c r="B505" s="15" t="s">
        <v>160</v>
      </c>
      <c r="C505" s="15" t="s">
        <v>158</v>
      </c>
      <c r="D505" s="24">
        <v>1</v>
      </c>
      <c r="E505" s="1" t="s">
        <v>162</v>
      </c>
      <c r="F505">
        <v>0.32642023911324802</v>
      </c>
      <c r="G505">
        <v>4.1248064708217544</v>
      </c>
      <c r="H505">
        <v>5.1602965839879946</v>
      </c>
      <c r="I505">
        <v>19.291113126841207</v>
      </c>
      <c r="J505">
        <v>7.4713519825893096E-2</v>
      </c>
      <c r="K505">
        <v>8.7907591347611316</v>
      </c>
      <c r="L505">
        <v>6.0953783259249992</v>
      </c>
      <c r="M505">
        <v>0.19842014882655981</v>
      </c>
      <c r="N505">
        <v>0.2245939354638623</v>
      </c>
      <c r="O505">
        <v>14.178119258393185</v>
      </c>
      <c r="P505" s="3">
        <v>40.064390925786853</v>
      </c>
      <c r="Q505" s="3">
        <v>1.9562980051942309</v>
      </c>
    </row>
    <row r="506" spans="1:17" x14ac:dyDescent="0.3">
      <c r="A506" s="13">
        <v>75055</v>
      </c>
      <c r="B506" s="15" t="s">
        <v>160</v>
      </c>
      <c r="C506" s="15" t="s">
        <v>158</v>
      </c>
      <c r="D506" s="24">
        <v>1</v>
      </c>
      <c r="E506" s="1" t="s">
        <v>162</v>
      </c>
      <c r="F506">
        <v>0.32642023911324802</v>
      </c>
      <c r="G506">
        <v>4.1248064708217544</v>
      </c>
      <c r="H506">
        <v>5.1602965839879946</v>
      </c>
      <c r="I506">
        <v>19.291113126841207</v>
      </c>
      <c r="J506">
        <v>7.4713519825893096E-2</v>
      </c>
      <c r="K506">
        <v>8.7907591347611316</v>
      </c>
      <c r="L506">
        <v>6.0953783259249992</v>
      </c>
      <c r="M506">
        <v>0.41736651994552038</v>
      </c>
      <c r="N506">
        <v>0.2245939354638623</v>
      </c>
      <c r="O506">
        <v>14.178119258393185</v>
      </c>
      <c r="P506" s="3">
        <v>40.064390925786853</v>
      </c>
      <c r="Q506" s="3">
        <v>4.0280198622752748</v>
      </c>
    </row>
    <row r="507" spans="1:17" x14ac:dyDescent="0.3">
      <c r="A507" s="13">
        <v>74255</v>
      </c>
      <c r="B507" s="15" t="s">
        <v>160</v>
      </c>
      <c r="C507" s="15" t="s">
        <v>158</v>
      </c>
      <c r="D507" s="24">
        <v>1</v>
      </c>
      <c r="E507" s="1" t="s">
        <v>162</v>
      </c>
      <c r="F507">
        <v>0.27448974652704944</v>
      </c>
      <c r="G507">
        <v>6.4646089718142123</v>
      </c>
      <c r="H507">
        <v>4.6786689028157822</v>
      </c>
      <c r="I507">
        <v>17.949569761829469</v>
      </c>
      <c r="J507">
        <v>8.3015022028770119E-2</v>
      </c>
      <c r="K507">
        <v>7.2898978190702062</v>
      </c>
      <c r="L507">
        <v>7.6476919802166163</v>
      </c>
      <c r="M507">
        <v>0.41052444584805475</v>
      </c>
      <c r="N507">
        <v>0.21684931699959123</v>
      </c>
      <c r="O507">
        <v>13.976018874227494</v>
      </c>
      <c r="P507" s="3">
        <v>51.521967394899335</v>
      </c>
      <c r="Q507" s="3">
        <v>4.3549522958864637</v>
      </c>
    </row>
    <row r="508" spans="1:17" x14ac:dyDescent="0.3">
      <c r="A508" s="13">
        <v>76503</v>
      </c>
      <c r="B508" s="15" t="s">
        <v>160</v>
      </c>
      <c r="C508" s="15" t="s">
        <v>158</v>
      </c>
      <c r="D508" s="24">
        <v>1</v>
      </c>
      <c r="E508" s="1" t="s">
        <v>162</v>
      </c>
      <c r="F508">
        <v>0.37835073169944655</v>
      </c>
      <c r="G508">
        <v>5.0474605498213565</v>
      </c>
      <c r="H508">
        <v>6.9333215641274597</v>
      </c>
      <c r="I508">
        <v>19.445367241981927</v>
      </c>
      <c r="J508">
        <v>8.3015022028770119E-2</v>
      </c>
      <c r="K508">
        <v>8.4334112024537689</v>
      </c>
      <c r="L508">
        <v>4.872706567332374</v>
      </c>
      <c r="M508">
        <v>0.28736711209363835</v>
      </c>
      <c r="N508">
        <v>0.17038160621396453</v>
      </c>
      <c r="O508">
        <v>11.815099381994321</v>
      </c>
      <c r="P508" s="3">
        <v>49.53513436427977</v>
      </c>
      <c r="Q508" s="3">
        <v>2.1055140965281955</v>
      </c>
    </row>
    <row r="509" spans="1:17" x14ac:dyDescent="0.3">
      <c r="A509" s="13">
        <v>75075</v>
      </c>
      <c r="B509" s="15" t="s">
        <v>160</v>
      </c>
      <c r="C509" s="15" t="s">
        <v>158</v>
      </c>
      <c r="D509" s="24">
        <v>1</v>
      </c>
      <c r="E509" s="1" t="s">
        <v>162</v>
      </c>
      <c r="F509">
        <v>0.27448974652704944</v>
      </c>
      <c r="G509">
        <v>5.8374454148471608</v>
      </c>
      <c r="H509">
        <v>4.3875752493600491</v>
      </c>
      <c r="I509">
        <v>18.00098780020971</v>
      </c>
      <c r="J509">
        <v>9.1316524231647128E-2</v>
      </c>
      <c r="K509">
        <v>7.2684569431317643</v>
      </c>
      <c r="L509">
        <v>7.9893208539410265</v>
      </c>
      <c r="M509">
        <v>0.37631407536071693</v>
      </c>
      <c r="N509">
        <v>0.19361546160677787</v>
      </c>
      <c r="O509">
        <v>14.652277852012695</v>
      </c>
      <c r="P509" s="3">
        <v>47.791322521459058</v>
      </c>
      <c r="Q509" s="3">
        <v>4.2610698893102263</v>
      </c>
    </row>
    <row r="510" spans="1:17" x14ac:dyDescent="0.3">
      <c r="A510" s="13">
        <v>72275</v>
      </c>
      <c r="B510" s="15" t="s">
        <v>160</v>
      </c>
      <c r="C510" s="15" t="s">
        <v>158</v>
      </c>
      <c r="D510" s="24">
        <v>1</v>
      </c>
      <c r="E510" s="1" t="s">
        <v>162</v>
      </c>
      <c r="F510">
        <v>0.21514061214282254</v>
      </c>
      <c r="G510">
        <v>6.0304188169908688</v>
      </c>
      <c r="H510">
        <v>7.145026039367993</v>
      </c>
      <c r="I510">
        <v>22.436962202286839</v>
      </c>
      <c r="J510">
        <v>0.20753755507192528</v>
      </c>
      <c r="K510">
        <v>7.5043065784546243</v>
      </c>
      <c r="L510">
        <v>0.83908846177925256</v>
      </c>
      <c r="M510">
        <v>0.31473540848350867</v>
      </c>
      <c r="N510">
        <v>0.1208160480426294</v>
      </c>
      <c r="O510">
        <v>11.659637548020712</v>
      </c>
      <c r="P510" s="3">
        <v>54.303854875283449</v>
      </c>
      <c r="Q510" s="3">
        <v>2.2347578531325993</v>
      </c>
    </row>
    <row r="511" spans="1:17" x14ac:dyDescent="0.3">
      <c r="A511" s="13">
        <v>72275</v>
      </c>
      <c r="B511" s="15" t="s">
        <v>160</v>
      </c>
      <c r="C511" s="15" t="s">
        <v>158</v>
      </c>
      <c r="D511" s="24">
        <v>1</v>
      </c>
      <c r="E511" s="1" t="s">
        <v>162</v>
      </c>
      <c r="F511">
        <v>0.21514061214282254</v>
      </c>
      <c r="G511">
        <v>6.0304188169908688</v>
      </c>
      <c r="H511">
        <v>7.145026039367993</v>
      </c>
      <c r="I511">
        <v>22.436962202286839</v>
      </c>
      <c r="J511">
        <v>0.20753755507192528</v>
      </c>
      <c r="K511">
        <v>7.5043065784546243</v>
      </c>
      <c r="L511">
        <v>0.83908846177925256</v>
      </c>
      <c r="M511">
        <v>0.31473540848350867</v>
      </c>
      <c r="N511">
        <v>0.1208160480426294</v>
      </c>
      <c r="O511">
        <v>11.659637548020712</v>
      </c>
      <c r="P511" s="3">
        <v>54.303854875283449</v>
      </c>
      <c r="Q511" s="3">
        <v>2.2347578531325993</v>
      </c>
    </row>
    <row r="512" spans="1:17" x14ac:dyDescent="0.3">
      <c r="A512" s="13">
        <v>72275</v>
      </c>
      <c r="B512" s="15" t="s">
        <v>160</v>
      </c>
      <c r="C512" s="15" t="s">
        <v>158</v>
      </c>
      <c r="D512" s="24">
        <v>1</v>
      </c>
      <c r="E512" s="1" t="s">
        <v>162</v>
      </c>
      <c r="F512">
        <v>0.28932703012310618</v>
      </c>
      <c r="G512">
        <v>5.6866849444223897</v>
      </c>
      <c r="H512">
        <v>9.4737752670138562</v>
      </c>
      <c r="I512">
        <v>21.969525489739194</v>
      </c>
      <c r="J512">
        <v>0.39017060353521948</v>
      </c>
      <c r="K512">
        <v>8.3619416159922952</v>
      </c>
      <c r="L512">
        <v>1.0788280222876105</v>
      </c>
      <c r="M512">
        <v>0.31473540848350867</v>
      </c>
      <c r="N512">
        <v>8.0544032028419588E-2</v>
      </c>
      <c r="O512">
        <v>8.0062844496408889</v>
      </c>
      <c r="P512" s="3">
        <v>62.005898262243235</v>
      </c>
      <c r="Q512" s="3">
        <v>1.6947415556038206</v>
      </c>
    </row>
    <row r="513" spans="1:17" x14ac:dyDescent="0.3">
      <c r="A513" s="13">
        <v>72275</v>
      </c>
      <c r="B513" s="15" t="s">
        <v>160</v>
      </c>
      <c r="C513" s="15" t="s">
        <v>158</v>
      </c>
      <c r="D513" s="24">
        <v>1</v>
      </c>
      <c r="E513" s="1" t="s">
        <v>162</v>
      </c>
      <c r="F513">
        <v>0.37093208990141818</v>
      </c>
      <c r="G513">
        <v>4.7640308654227868</v>
      </c>
      <c r="H513">
        <v>7.6742872274693257</v>
      </c>
      <c r="I513">
        <v>22.483705873541602</v>
      </c>
      <c r="J513">
        <v>0.48978862996974365</v>
      </c>
      <c r="K513">
        <v>8.0045936836849325</v>
      </c>
      <c r="L513">
        <v>0.67127076942340214</v>
      </c>
      <c r="M513">
        <v>0.21894637111896256</v>
      </c>
      <c r="N513">
        <v>0.19361546160677787</v>
      </c>
      <c r="O513">
        <v>11.193252046099884</v>
      </c>
      <c r="P513" s="3">
        <v>49.442046536716219</v>
      </c>
      <c r="Q513" s="3">
        <v>1.4588860519454243</v>
      </c>
    </row>
    <row r="514" spans="1:17" x14ac:dyDescent="0.3">
      <c r="A514" s="13">
        <v>76503</v>
      </c>
      <c r="B514" s="15" t="s">
        <v>160</v>
      </c>
      <c r="C514" s="15" t="s">
        <v>158</v>
      </c>
      <c r="D514" s="24">
        <v>1</v>
      </c>
      <c r="E514" s="1" t="s">
        <v>162</v>
      </c>
      <c r="F514">
        <v>0.29674567192113455</v>
      </c>
      <c r="G514">
        <v>5.0836430627233025</v>
      </c>
      <c r="H514">
        <v>8.2035484155706584</v>
      </c>
      <c r="I514">
        <v>22.623936887305895</v>
      </c>
      <c r="J514">
        <v>0.65581867402728389</v>
      </c>
      <c r="K514">
        <v>9.8628029316832215</v>
      </c>
      <c r="L514">
        <v>0.40755725286420841</v>
      </c>
      <c r="M514">
        <v>0.27368296389870322</v>
      </c>
      <c r="N514">
        <v>0.13940313235688007</v>
      </c>
      <c r="O514">
        <v>8.1617462836144981</v>
      </c>
      <c r="P514" s="3">
        <v>58.866950458970692</v>
      </c>
      <c r="Q514" s="3">
        <v>1.7017509578827033</v>
      </c>
    </row>
    <row r="515" spans="1:17" x14ac:dyDescent="0.3">
      <c r="A515" s="14" t="s">
        <v>40</v>
      </c>
      <c r="B515" s="11" t="s">
        <v>38</v>
      </c>
      <c r="C515" s="11" t="s">
        <v>39</v>
      </c>
      <c r="D515" s="24">
        <v>2</v>
      </c>
      <c r="E515" s="1" t="s">
        <v>163</v>
      </c>
      <c r="F515" s="2">
        <v>0.23962213007631616</v>
      </c>
      <c r="G515" s="2">
        <v>2.3156808257244936</v>
      </c>
      <c r="H515" s="2">
        <v>14.978091623267719</v>
      </c>
      <c r="I515" s="2">
        <v>19.398623570727164</v>
      </c>
      <c r="J515" s="2">
        <v>2.4904506608631034E-2</v>
      </c>
      <c r="K515" s="2">
        <v>15.373108047862759</v>
      </c>
      <c r="L515" s="2">
        <v>0.11986978025417894</v>
      </c>
      <c r="M515" s="2">
        <v>4.7894518682273061E-2</v>
      </c>
      <c r="N515" s="2">
        <v>4.6467710785626684E-2</v>
      </c>
      <c r="O515" s="4">
        <v>2.899363203607817</v>
      </c>
      <c r="P515" s="3">
        <v>64.728139008192301</v>
      </c>
      <c r="Q515" s="3">
        <v>0.1656584109764801</v>
      </c>
    </row>
    <row r="516" spans="1:17" x14ac:dyDescent="0.3">
      <c r="A516" s="14" t="s">
        <v>41</v>
      </c>
      <c r="B516" s="11" t="s">
        <v>38</v>
      </c>
      <c r="C516" s="11" t="s">
        <v>39</v>
      </c>
      <c r="D516" s="24">
        <v>2</v>
      </c>
      <c r="E516" s="1" t="s">
        <v>163</v>
      </c>
      <c r="F516" s="2">
        <v>0.25520127785217567</v>
      </c>
      <c r="G516" s="2">
        <v>2.261407056371576</v>
      </c>
      <c r="H516" s="2">
        <v>15.189796098508252</v>
      </c>
      <c r="I516" s="2">
        <v>19.866060283274805</v>
      </c>
      <c r="J516" s="2">
        <v>0.24904506608631033</v>
      </c>
      <c r="K516" s="2">
        <v>14.315358168232965</v>
      </c>
      <c r="L516" s="2">
        <v>0.11986978025417894</v>
      </c>
      <c r="M516" s="2">
        <v>5.4736592779740641E-2</v>
      </c>
      <c r="N516" s="2">
        <v>4.6467710785626684E-2</v>
      </c>
      <c r="O516" s="4">
        <v>3.1092366794721897</v>
      </c>
      <c r="P516" s="3">
        <v>62.562843826849438</v>
      </c>
      <c r="Q516" s="3">
        <v>0.18664599192669731</v>
      </c>
    </row>
    <row r="517" spans="1:17" x14ac:dyDescent="0.3">
      <c r="A517" s="14" t="s">
        <v>42</v>
      </c>
      <c r="B517" s="11" t="s">
        <v>38</v>
      </c>
      <c r="C517" s="11" t="s">
        <v>39</v>
      </c>
      <c r="D517" s="24">
        <v>2</v>
      </c>
      <c r="E517" s="1" t="s">
        <v>163</v>
      </c>
      <c r="F517" s="2">
        <v>0.2485245002339502</v>
      </c>
      <c r="G517" s="2">
        <v>2.2855287316395394</v>
      </c>
      <c r="H517" s="2">
        <v>15.083943860887986</v>
      </c>
      <c r="I517" s="2">
        <v>19.67908559825575</v>
      </c>
      <c r="J517" s="2">
        <v>2.4904506608631034E-2</v>
      </c>
      <c r="K517" s="2">
        <v>14.758469604294094</v>
      </c>
      <c r="L517" s="2">
        <v>0.11986978025417894</v>
      </c>
      <c r="M517" s="2">
        <v>4.7894518682273061E-2</v>
      </c>
      <c r="N517" s="2">
        <v>4.6467710785626684E-2</v>
      </c>
      <c r="O517" s="4">
        <v>3.0237326707867047</v>
      </c>
      <c r="P517" s="3">
        <v>63.460023382592901</v>
      </c>
      <c r="Q517" s="3">
        <v>0.16449780812369799</v>
      </c>
    </row>
    <row r="518" spans="1:17" x14ac:dyDescent="0.3">
      <c r="A518" s="14" t="s">
        <v>43</v>
      </c>
      <c r="B518" s="11" t="s">
        <v>38</v>
      </c>
      <c r="C518" s="11" t="s">
        <v>39</v>
      </c>
      <c r="D518" s="24">
        <v>2</v>
      </c>
      <c r="E518" s="1" t="s">
        <v>163</v>
      </c>
      <c r="F518" s="2">
        <v>0.26187805547040122</v>
      </c>
      <c r="G518" s="2">
        <v>2.4061371079793568</v>
      </c>
      <c r="H518" s="2">
        <v>15.930761761850119</v>
      </c>
      <c r="I518" s="2">
        <v>20.707446365860559</v>
      </c>
      <c r="J518" s="2">
        <v>2.4904506608631034E-2</v>
      </c>
      <c r="K518" s="2">
        <v>11.685277386450773</v>
      </c>
      <c r="L518" s="2">
        <v>0.12586326926688787</v>
      </c>
      <c r="M518" s="2">
        <v>5.4736592779740641E-2</v>
      </c>
      <c r="N518" s="2">
        <v>5.4212329249897807E-2</v>
      </c>
      <c r="O518" s="4">
        <v>3.1869675964589943</v>
      </c>
      <c r="P518" s="3">
        <v>63.43329233052085</v>
      </c>
      <c r="Q518" s="3">
        <v>0.1779802338358219</v>
      </c>
    </row>
    <row r="519" spans="1:17" x14ac:dyDescent="0.3">
      <c r="A519" s="14" t="s">
        <v>44</v>
      </c>
      <c r="B519" s="11" t="s">
        <v>38</v>
      </c>
      <c r="C519" s="11" t="s">
        <v>39</v>
      </c>
      <c r="D519" s="24">
        <v>2</v>
      </c>
      <c r="E519" s="1" t="s">
        <v>163</v>
      </c>
      <c r="F519" s="2">
        <v>0.25223382113296439</v>
      </c>
      <c r="G519" s="2">
        <v>3.0091789896784435</v>
      </c>
      <c r="H519" s="2">
        <v>14.660534910406918</v>
      </c>
      <c r="I519" s="2">
        <v>21.128139407153441</v>
      </c>
      <c r="J519" s="2">
        <v>1.6603004405754022E-2</v>
      </c>
      <c r="K519" s="2">
        <v>11.442280792481766</v>
      </c>
      <c r="L519" s="2">
        <v>0.16182420334314157</v>
      </c>
      <c r="M519" s="2">
        <v>8.2104889169610951E-2</v>
      </c>
      <c r="N519" s="2">
        <v>6.1956947714168917E-2</v>
      </c>
      <c r="O519" s="4">
        <v>4.2829735259729409</v>
      </c>
      <c r="P519" s="3">
        <v>61.749226544783241</v>
      </c>
      <c r="Q519" s="3">
        <v>0.28977645526015205</v>
      </c>
    </row>
    <row r="520" spans="1:17" x14ac:dyDescent="0.3">
      <c r="A520" s="13" t="s">
        <v>45</v>
      </c>
      <c r="B520" s="11" t="s">
        <v>16</v>
      </c>
      <c r="C520" s="11" t="s">
        <v>17</v>
      </c>
      <c r="D520" s="24">
        <v>2</v>
      </c>
      <c r="E520" s="1" t="s">
        <v>163</v>
      </c>
      <c r="F520" s="2">
        <v>0.27448974652704944</v>
      </c>
      <c r="G520" s="2">
        <v>1.7126389440254066</v>
      </c>
      <c r="H520" s="2">
        <v>16.407096831141317</v>
      </c>
      <c r="I520" s="2">
        <v>20.707446365860559</v>
      </c>
      <c r="J520" s="2">
        <v>2.4904506608631034E-2</v>
      </c>
      <c r="K520" s="2">
        <v>12.221299284911817</v>
      </c>
      <c r="L520" s="2">
        <v>8.9902335190634203E-2</v>
      </c>
      <c r="M520" s="2">
        <v>4.7894518682273061E-2</v>
      </c>
      <c r="N520" s="2">
        <v>3.8723092321355575E-2</v>
      </c>
      <c r="O520" s="2">
        <v>2.642851177551361</v>
      </c>
      <c r="P520" s="3">
        <v>59.82250710820658</v>
      </c>
      <c r="Q520" s="3">
        <v>0.15125192086328407</v>
      </c>
    </row>
    <row r="521" spans="1:17" x14ac:dyDescent="0.3">
      <c r="A521" s="13" t="s">
        <v>46</v>
      </c>
      <c r="B521" s="11" t="s">
        <v>16</v>
      </c>
      <c r="C521" s="11" t="s">
        <v>17</v>
      </c>
      <c r="D521" s="24">
        <v>2</v>
      </c>
      <c r="E521" s="1" t="s">
        <v>163</v>
      </c>
      <c r="F521" s="2">
        <v>0.45995579147775856</v>
      </c>
      <c r="G521" s="2">
        <v>3.1237569472012701</v>
      </c>
      <c r="H521" s="2">
        <v>14.34297819754612</v>
      </c>
      <c r="I521" s="2">
        <v>21.221626749662967</v>
      </c>
      <c r="J521" s="2">
        <v>8.3015022028770119E-2</v>
      </c>
      <c r="K521" s="2">
        <v>11.077785901528255</v>
      </c>
      <c r="L521" s="2">
        <v>0.34162887372440992</v>
      </c>
      <c r="M521" s="2">
        <v>6.8420740974675806E-2</v>
      </c>
      <c r="N521" s="2">
        <v>5.4212329249897807E-2</v>
      </c>
      <c r="O521" s="2">
        <v>3.8943189410389176</v>
      </c>
      <c r="P521" s="3">
        <v>64.826363442153962</v>
      </c>
      <c r="Q521" s="3">
        <v>0.24693286524078628</v>
      </c>
    </row>
    <row r="522" spans="1:17" x14ac:dyDescent="0.3">
      <c r="A522" s="14" t="s">
        <v>49</v>
      </c>
      <c r="B522" s="11" t="s">
        <v>47</v>
      </c>
      <c r="C522" s="11" t="s">
        <v>48</v>
      </c>
      <c r="D522" s="24">
        <v>2</v>
      </c>
      <c r="E522" s="1" t="s">
        <v>163</v>
      </c>
      <c r="F522" s="2">
        <v>0.31900159731521965</v>
      </c>
      <c r="G522" s="2">
        <v>3.1599394601032156</v>
      </c>
      <c r="H522" s="2">
        <v>15.507352811369053</v>
      </c>
      <c r="I522" s="2">
        <v>20.613959023351033</v>
      </c>
      <c r="J522" s="2">
        <v>1.6603004405754022E-2</v>
      </c>
      <c r="K522" s="2">
        <v>11.578073006758563</v>
      </c>
      <c r="L522" s="2">
        <v>0.11986978025417894</v>
      </c>
      <c r="M522" s="2">
        <v>6.6599999999999993E-2</v>
      </c>
      <c r="N522" s="2">
        <v>4.58E-2</v>
      </c>
      <c r="O522" s="2">
        <v>3.2802446968431598</v>
      </c>
      <c r="P522" s="3">
        <v>68.88037708264477</v>
      </c>
      <c r="Q522" s="3">
        <v>0.22236885165287293</v>
      </c>
    </row>
    <row r="523" spans="1:17" x14ac:dyDescent="0.3">
      <c r="A523" s="16" t="s">
        <v>50</v>
      </c>
      <c r="B523" s="11" t="s">
        <v>51</v>
      </c>
      <c r="C523" s="11" t="s">
        <v>52</v>
      </c>
      <c r="D523" s="24">
        <v>2</v>
      </c>
      <c r="E523" s="1" t="s">
        <v>163</v>
      </c>
      <c r="F523" s="2">
        <v>0.41321834815017988</v>
      </c>
      <c r="G523" s="2">
        <v>3.0755135966653429</v>
      </c>
      <c r="H523" s="2">
        <v>15.666131167799453</v>
      </c>
      <c r="I523" s="2">
        <v>20.987908393389144</v>
      </c>
      <c r="J523" s="2">
        <v>3.2375858591220344E-2</v>
      </c>
      <c r="K523" s="2">
        <v>11.721012179681507</v>
      </c>
      <c r="L523" s="2">
        <v>0.10848215113003193</v>
      </c>
      <c r="M523" s="2">
        <v>5.6310269822158178E-2</v>
      </c>
      <c r="N523" s="2">
        <v>4.8326419217051754E-2</v>
      </c>
      <c r="O523" s="2">
        <v>3.1558752296642725</v>
      </c>
      <c r="P523" s="3">
        <v>69.127865847667252</v>
      </c>
      <c r="Q523" s="3">
        <v>0.18617473853126096</v>
      </c>
    </row>
    <row r="524" spans="1:17" x14ac:dyDescent="0.3">
      <c r="A524" s="16" t="s">
        <v>50</v>
      </c>
      <c r="B524" s="11" t="s">
        <v>51</v>
      </c>
      <c r="C524" s="11" t="s">
        <v>52</v>
      </c>
      <c r="D524" s="24">
        <v>2</v>
      </c>
      <c r="E524" s="1" t="s">
        <v>163</v>
      </c>
      <c r="F524" s="2">
        <v>0.33383888091127639</v>
      </c>
      <c r="G524" s="2">
        <v>3.2323044859071062</v>
      </c>
      <c r="H524" s="2">
        <v>15.083943860887986</v>
      </c>
      <c r="I524" s="2">
        <v>20.847677379624855</v>
      </c>
      <c r="J524" s="2">
        <v>1.6603004405754022E-2</v>
      </c>
      <c r="K524" s="2">
        <v>11.435133833835618</v>
      </c>
      <c r="L524" s="2">
        <v>0.11986978025417894</v>
      </c>
      <c r="M524" s="2">
        <v>6.7394429860055657E-2</v>
      </c>
      <c r="N524" s="2">
        <v>4.7009834078125666E-2</v>
      </c>
      <c r="O524" s="2">
        <v>3.3268832470352434</v>
      </c>
      <c r="P524" s="3">
        <v>69.062809728583787</v>
      </c>
      <c r="Q524" s="3">
        <v>0.23131699322499394</v>
      </c>
    </row>
    <row r="525" spans="1:17" x14ac:dyDescent="0.3">
      <c r="A525" s="16" t="s">
        <v>53</v>
      </c>
      <c r="B525" s="11" t="s">
        <v>51</v>
      </c>
      <c r="C525" s="11" t="s">
        <v>52</v>
      </c>
      <c r="D525" s="24">
        <v>2</v>
      </c>
      <c r="E525" s="1" t="s">
        <v>163</v>
      </c>
      <c r="F525" s="2">
        <v>0.30861549879797989</v>
      </c>
      <c r="G525" s="2">
        <v>3.3468824434299322</v>
      </c>
      <c r="H525" s="2">
        <v>14.131273722305586</v>
      </c>
      <c r="I525" s="2">
        <v>20.800933708370088</v>
      </c>
      <c r="J525" s="2">
        <v>2.4074356388343335E-2</v>
      </c>
      <c r="K525" s="2">
        <v>11.599513882697005</v>
      </c>
      <c r="L525" s="2">
        <v>0.13785024729230577</v>
      </c>
      <c r="M525" s="2">
        <v>8.689434103783826E-2</v>
      </c>
      <c r="N525" s="2">
        <v>5.4522113988468651E-2</v>
      </c>
      <c r="O525" s="2">
        <v>3.8632265742441954</v>
      </c>
      <c r="P525" s="3">
        <v>66.561635060920622</v>
      </c>
      <c r="Q525" s="3">
        <v>0.31807592617335156</v>
      </c>
    </row>
    <row r="526" spans="1:17" x14ac:dyDescent="0.3">
      <c r="A526" s="14" t="s">
        <v>54</v>
      </c>
      <c r="B526" s="15" t="s">
        <v>55</v>
      </c>
      <c r="C526" s="11" t="s">
        <v>56</v>
      </c>
      <c r="D526" s="24">
        <v>2</v>
      </c>
      <c r="E526" s="1" t="s">
        <v>163</v>
      </c>
      <c r="F526" s="2">
        <v>0.31900159731521965</v>
      </c>
      <c r="G526" s="2">
        <v>3.1961219730051607</v>
      </c>
      <c r="H526" s="2">
        <v>14.872239385647454</v>
      </c>
      <c r="I526" s="2">
        <v>20.754190037115325</v>
      </c>
      <c r="J526" s="2">
        <v>3.5999999999999997E-2</v>
      </c>
      <c r="K526" s="2">
        <v>11.435133833835618</v>
      </c>
      <c r="L526" s="2">
        <v>0.13185675827959684</v>
      </c>
      <c r="M526" s="2">
        <v>7.4578607662396615E-2</v>
      </c>
      <c r="N526" s="2">
        <v>5.0340020017762249E-2</v>
      </c>
      <c r="O526" s="2">
        <v>3.653353098379823</v>
      </c>
      <c r="P526" s="3">
        <v>66.778650373025698</v>
      </c>
      <c r="Q526" s="3">
        <v>0.25954546785920596</v>
      </c>
    </row>
    <row r="527" spans="1:17" x14ac:dyDescent="0.3">
      <c r="A527" s="14" t="s">
        <v>57</v>
      </c>
      <c r="B527" s="15" t="s">
        <v>58</v>
      </c>
      <c r="C527" s="11" t="s">
        <v>59</v>
      </c>
      <c r="D527" s="24">
        <v>2</v>
      </c>
      <c r="E527" s="1" t="s">
        <v>163</v>
      </c>
      <c r="F527" s="2">
        <v>0.26500000000000001</v>
      </c>
      <c r="G527" s="2">
        <v>3.47</v>
      </c>
      <c r="H527" s="2">
        <v>13.53</v>
      </c>
      <c r="I527" s="2">
        <v>21.437700000000007</v>
      </c>
      <c r="J527" s="2">
        <v>1.4999999999999999E-2</v>
      </c>
      <c r="K527" s="2">
        <v>10.6</v>
      </c>
      <c r="L527" s="2">
        <v>0.25</v>
      </c>
      <c r="M527" s="2">
        <v>0.10199999999999999</v>
      </c>
      <c r="N527" s="2">
        <v>6.5699999999999995E-2</v>
      </c>
      <c r="O527" s="2">
        <v>4.74</v>
      </c>
      <c r="P527" s="3">
        <v>62.715135886411069</v>
      </c>
      <c r="Q527" s="3">
        <v>0.3896824996728816</v>
      </c>
    </row>
    <row r="528" spans="1:17" x14ac:dyDescent="0.3">
      <c r="A528" s="13" t="s">
        <v>60</v>
      </c>
      <c r="B528" s="11" t="s">
        <v>16</v>
      </c>
      <c r="C528" s="11" t="s">
        <v>17</v>
      </c>
      <c r="D528" s="24">
        <v>2</v>
      </c>
      <c r="E528" s="1" t="s">
        <v>163</v>
      </c>
      <c r="F528" s="2">
        <v>0.27448974652704944</v>
      </c>
      <c r="G528" s="2">
        <v>1.658365174672489</v>
      </c>
      <c r="H528" s="2">
        <v>16.565875187571717</v>
      </c>
      <c r="I528" s="2">
        <v>20.800933708370088</v>
      </c>
      <c r="J528" s="2">
        <v>3.3206008811508043E-2</v>
      </c>
      <c r="K528" s="2">
        <v>12.149829698450343</v>
      </c>
      <c r="L528" s="2">
        <v>8.3908846177925267E-2</v>
      </c>
      <c r="M528" s="2">
        <v>4.1052444584805475E-2</v>
      </c>
      <c r="N528" s="2">
        <v>3.8723092321355575E-2</v>
      </c>
      <c r="O528" s="2">
        <v>2.5340278937698346</v>
      </c>
      <c r="P528" s="3">
        <v>60.058905276730414</v>
      </c>
      <c r="Q528" s="3">
        <v>0.12843125108295103</v>
      </c>
    </row>
    <row r="529" spans="1:17" x14ac:dyDescent="0.3">
      <c r="A529" s="13" t="s">
        <v>61</v>
      </c>
      <c r="B529" s="11" t="s">
        <v>16</v>
      </c>
      <c r="C529" s="11" t="s">
        <v>17</v>
      </c>
      <c r="D529" s="24">
        <v>2</v>
      </c>
      <c r="E529" s="1" t="s">
        <v>163</v>
      </c>
      <c r="F529" s="2">
        <v>0.28932703012310618</v>
      </c>
      <c r="G529" s="2">
        <v>2.3217112445414845</v>
      </c>
      <c r="H529" s="2">
        <v>15.771983405419718</v>
      </c>
      <c r="I529" s="2">
        <v>21.128139407153441</v>
      </c>
      <c r="J529" s="2">
        <v>4.9809013217262069E-2</v>
      </c>
      <c r="K529" s="2">
        <v>11.863951352604454</v>
      </c>
      <c r="L529" s="2">
        <v>0.12586326926688787</v>
      </c>
      <c r="M529" s="2">
        <v>5.4736592779740641E-2</v>
      </c>
      <c r="N529" s="2">
        <v>3.8723092321355575E-2</v>
      </c>
      <c r="O529" s="2">
        <v>2.8760439285117756</v>
      </c>
      <c r="P529" s="3">
        <v>64.971500328146718</v>
      </c>
      <c r="Q529" s="3">
        <v>0.17976876015437362</v>
      </c>
    </row>
    <row r="530" spans="1:17" x14ac:dyDescent="0.3">
      <c r="A530" s="14" t="s">
        <v>62</v>
      </c>
      <c r="B530" s="15" t="s">
        <v>63</v>
      </c>
      <c r="C530" s="11" t="s">
        <v>64</v>
      </c>
      <c r="D530" s="24">
        <v>2</v>
      </c>
      <c r="E530" s="1" t="s">
        <v>163</v>
      </c>
      <c r="F530" s="2">
        <v>0.26200000000000001</v>
      </c>
      <c r="G530" s="2">
        <v>3.14</v>
      </c>
      <c r="H530" s="2">
        <v>14.42</v>
      </c>
      <c r="I530" s="2">
        <v>20.68</v>
      </c>
      <c r="J530" s="2">
        <v>4.4499999999999998E-2</v>
      </c>
      <c r="K530" s="2">
        <v>11.76</v>
      </c>
      <c r="L530" s="2">
        <v>0.13</v>
      </c>
      <c r="M530" s="2">
        <v>6.3899999999999998E-2</v>
      </c>
      <c r="N530" s="2">
        <v>5.1900000000000002E-2</v>
      </c>
      <c r="O530" s="2">
        <v>3.42</v>
      </c>
      <c r="P530" s="3">
        <v>67.841125920973838</v>
      </c>
      <c r="Q530" s="3">
        <v>0.22942580926267356</v>
      </c>
    </row>
    <row r="531" spans="1:17" x14ac:dyDescent="0.3">
      <c r="A531" s="14" t="s">
        <v>65</v>
      </c>
      <c r="B531" s="11" t="s">
        <v>66</v>
      </c>
      <c r="C531" s="11" t="s">
        <v>67</v>
      </c>
      <c r="D531" s="24">
        <v>2</v>
      </c>
      <c r="E531" s="1" t="s">
        <v>163</v>
      </c>
      <c r="F531" s="2">
        <v>0.22997789573887928</v>
      </c>
      <c r="G531" s="2">
        <v>5.4334073541087733</v>
      </c>
      <c r="H531" s="2">
        <v>11.559064348133109</v>
      </c>
      <c r="I531" s="2">
        <v>21.628296689579418</v>
      </c>
      <c r="J531" s="2">
        <v>8.3015022028770109E-3</v>
      </c>
      <c r="K531" s="2">
        <v>9.6341002550065085</v>
      </c>
      <c r="L531" s="2">
        <v>0.23973956050835787</v>
      </c>
      <c r="M531" s="2">
        <v>8.5731188441268771E-2</v>
      </c>
      <c r="N531" s="2">
        <v>9.2935421571253368E-2</v>
      </c>
      <c r="O531" s="2">
        <v>6.7004050442625687</v>
      </c>
      <c r="P531" s="3">
        <v>65.074064153694337</v>
      </c>
      <c r="Q531" s="3">
        <v>0.38339997525273478</v>
      </c>
    </row>
    <row r="532" spans="1:17" x14ac:dyDescent="0.3">
      <c r="A532" s="14" t="s">
        <v>68</v>
      </c>
      <c r="B532" s="11" t="s">
        <v>66</v>
      </c>
      <c r="C532" s="11" t="s">
        <v>67</v>
      </c>
      <c r="D532" s="24">
        <v>2</v>
      </c>
      <c r="E532" s="1" t="s">
        <v>163</v>
      </c>
      <c r="F532" s="2">
        <v>0.2077219703447942</v>
      </c>
      <c r="G532" s="2">
        <v>4.7640308654227868</v>
      </c>
      <c r="H532" s="2">
        <v>13.284455821343455</v>
      </c>
      <c r="I532" s="2">
        <v>20.567215352096269</v>
      </c>
      <c r="J532" s="2">
        <v>6.6412017623016087E-2</v>
      </c>
      <c r="K532" s="2">
        <v>10.363090036913528</v>
      </c>
      <c r="L532" s="2">
        <v>0.22175909347023104</v>
      </c>
      <c r="M532" s="2">
        <v>0.13684148194935161</v>
      </c>
      <c r="N532" s="2">
        <v>6.9701566178440033E-2</v>
      </c>
      <c r="O532" s="2">
        <v>5.6743569400367457</v>
      </c>
      <c r="P532" s="3">
        <v>65.859398171334263</v>
      </c>
      <c r="Q532" s="3">
        <v>0.53169541879481597</v>
      </c>
    </row>
    <row r="533" spans="1:17" x14ac:dyDescent="0.3">
      <c r="A533" s="14" t="s">
        <v>69</v>
      </c>
      <c r="B533" s="11" t="s">
        <v>66</v>
      </c>
      <c r="C533" s="11" t="s">
        <v>67</v>
      </c>
      <c r="D533" s="24">
        <v>2</v>
      </c>
      <c r="E533" s="1" t="s">
        <v>163</v>
      </c>
      <c r="F533" s="2">
        <v>0.25223382113296439</v>
      </c>
      <c r="G533" s="2">
        <v>5.4876811234616909</v>
      </c>
      <c r="H533" s="2">
        <v>12.067155088710388</v>
      </c>
      <c r="I533" s="2">
        <v>20.847677379624855</v>
      </c>
      <c r="J533" s="2">
        <v>8.3015022028770119E-2</v>
      </c>
      <c r="K533" s="2">
        <v>9.9342725181446934</v>
      </c>
      <c r="L533" s="2">
        <v>0.19778513741939527</v>
      </c>
      <c r="M533" s="2">
        <v>0.13684148194935161</v>
      </c>
      <c r="N533" s="2">
        <v>8.5190803106982266E-2</v>
      </c>
      <c r="O533" s="2">
        <v>6.2184733589443795</v>
      </c>
      <c r="P533" s="3">
        <v>66.97112226806378</v>
      </c>
      <c r="Q533" s="3">
        <v>0.58501758047800112</v>
      </c>
    </row>
    <row r="534" spans="1:17" x14ac:dyDescent="0.3">
      <c r="A534" s="14" t="s">
        <v>70</v>
      </c>
      <c r="B534" s="11" t="s">
        <v>66</v>
      </c>
      <c r="C534" s="11" t="s">
        <v>67</v>
      </c>
      <c r="D534" s="24">
        <v>2</v>
      </c>
      <c r="E534" s="1" t="s">
        <v>163</v>
      </c>
      <c r="F534" s="2">
        <v>0.26707110472902107</v>
      </c>
      <c r="G534" s="2">
        <v>5.1258559944422384</v>
      </c>
      <c r="H534" s="2">
        <v>13.019825227292788</v>
      </c>
      <c r="I534" s="2">
        <v>20.660702694605799</v>
      </c>
      <c r="J534" s="2">
        <v>8.3015022028770119E-2</v>
      </c>
      <c r="K534" s="2">
        <v>9.7913333452217479</v>
      </c>
      <c r="L534" s="2">
        <v>0.21576560445752208</v>
      </c>
      <c r="M534" s="2">
        <v>0.12999940785188402</v>
      </c>
      <c r="N534" s="2">
        <v>8.5190803106982266E-2</v>
      </c>
      <c r="O534" s="2">
        <v>6.4516661099047941</v>
      </c>
      <c r="P534" s="3">
        <v>64.608105059981128</v>
      </c>
      <c r="Q534" s="3">
        <v>0.51546123891976015</v>
      </c>
    </row>
    <row r="535" spans="1:17" x14ac:dyDescent="0.3">
      <c r="A535" s="14" t="s">
        <v>71</v>
      </c>
      <c r="B535" s="11" t="s">
        <v>38</v>
      </c>
      <c r="C535" s="11" t="s">
        <v>39</v>
      </c>
      <c r="D535" s="24">
        <v>2</v>
      </c>
      <c r="E535" s="1" t="s">
        <v>163</v>
      </c>
      <c r="F535" s="2">
        <v>0.30045499282014876</v>
      </c>
      <c r="G535" s="2">
        <v>5.4695898670107184</v>
      </c>
      <c r="H535" s="2">
        <v>12.913972989672521</v>
      </c>
      <c r="I535" s="2">
        <v>21.221626749662967</v>
      </c>
      <c r="J535" s="2">
        <v>0.13282403524603217</v>
      </c>
      <c r="K535" s="2">
        <v>9.8056272625140419</v>
      </c>
      <c r="L535" s="2">
        <v>0.14983722531772367</v>
      </c>
      <c r="M535" s="2">
        <v>0.12999940785188402</v>
      </c>
      <c r="N535" s="2">
        <v>6.1956947714168917E-2</v>
      </c>
      <c r="O535" s="4">
        <v>4.7027204777016864</v>
      </c>
      <c r="P535" s="3">
        <v>72.769522420257786</v>
      </c>
      <c r="Q535" s="3">
        <v>0.51966437474349358</v>
      </c>
    </row>
    <row r="536" spans="1:17" x14ac:dyDescent="0.3">
      <c r="A536" s="14" t="s">
        <v>72</v>
      </c>
      <c r="B536" s="11" t="s">
        <v>38</v>
      </c>
      <c r="C536" s="11" t="s">
        <v>39</v>
      </c>
      <c r="D536" s="24">
        <v>2</v>
      </c>
      <c r="E536" s="1" t="s">
        <v>163</v>
      </c>
      <c r="F536" s="2">
        <v>0.24184772261572465</v>
      </c>
      <c r="G536" s="2">
        <v>1.7488214569273519</v>
      </c>
      <c r="H536" s="2">
        <v>16.989284138052785</v>
      </c>
      <c r="I536" s="2">
        <v>20.847677379624855</v>
      </c>
      <c r="J536" s="2">
        <v>8.3015022028770109E-3</v>
      </c>
      <c r="K536" s="2">
        <v>12.571500258573032</v>
      </c>
      <c r="L536" s="2">
        <v>6.5928379139798418E-2</v>
      </c>
      <c r="M536" s="2">
        <v>3.4210370487337903E-2</v>
      </c>
      <c r="N536" s="2">
        <v>3.8723092321355575E-2</v>
      </c>
      <c r="O536" s="2">
        <v>2.1376002171371304</v>
      </c>
      <c r="P536" s="3">
        <v>65.275158247478871</v>
      </c>
      <c r="Q536" s="3">
        <v>0.1043838546951681</v>
      </c>
    </row>
    <row r="537" spans="1:17" x14ac:dyDescent="0.3">
      <c r="A537" s="14" t="s">
        <v>73</v>
      </c>
      <c r="B537" s="11" t="s">
        <v>38</v>
      </c>
      <c r="C537" s="11" t="s">
        <v>39</v>
      </c>
      <c r="D537" s="24">
        <v>2</v>
      </c>
      <c r="E537" s="1" t="s">
        <v>163</v>
      </c>
      <c r="F537" s="2">
        <v>0.2611361912905984</v>
      </c>
      <c r="G537" s="2">
        <v>2.0201903036919413</v>
      </c>
      <c r="H537" s="2">
        <v>15.98368788066025</v>
      </c>
      <c r="I537" s="2">
        <v>20.567215352096269</v>
      </c>
      <c r="J537" s="2">
        <v>2.4904506608631034E-2</v>
      </c>
      <c r="K537" s="2">
        <v>12.907407314941953</v>
      </c>
      <c r="L537" s="2">
        <v>0.11387629124146999</v>
      </c>
      <c r="M537" s="2">
        <v>4.7894518682273061E-2</v>
      </c>
      <c r="N537" s="2">
        <v>4.6467710785626684E-2</v>
      </c>
      <c r="O537" s="2">
        <v>2.7749937364289292</v>
      </c>
      <c r="P537" s="3">
        <v>62.584700106625014</v>
      </c>
      <c r="Q537" s="3">
        <v>0.15525237380807119</v>
      </c>
    </row>
    <row r="538" spans="1:17" x14ac:dyDescent="0.3">
      <c r="A538" s="14" t="s">
        <v>74</v>
      </c>
      <c r="B538" s="11" t="s">
        <v>38</v>
      </c>
      <c r="C538" s="11" t="s">
        <v>39</v>
      </c>
      <c r="D538" s="24">
        <v>2</v>
      </c>
      <c r="E538" s="1" t="s">
        <v>163</v>
      </c>
      <c r="F538" s="2">
        <v>0.24333145097533035</v>
      </c>
      <c r="G538" s="2">
        <v>1.3146313021040095</v>
      </c>
      <c r="H538" s="2">
        <v>17.465619207343984</v>
      </c>
      <c r="I538" s="2">
        <v>20.660702694605799</v>
      </c>
      <c r="J538" s="2">
        <v>8.3015022028770109E-3</v>
      </c>
      <c r="K538" s="2">
        <v>12.828790769834333</v>
      </c>
      <c r="L538" s="2">
        <v>4.7947912101671576E-2</v>
      </c>
      <c r="M538" s="2">
        <v>3.4210370487337903E-2</v>
      </c>
      <c r="N538" s="2">
        <v>3.0978473857084458E-2</v>
      </c>
      <c r="O538" s="2">
        <v>1.9432729246701186</v>
      </c>
      <c r="P538" s="3">
        <v>60.851646857299514</v>
      </c>
      <c r="Q538" s="3">
        <v>0.1015399129655328</v>
      </c>
    </row>
    <row r="539" spans="1:17" x14ac:dyDescent="0.3">
      <c r="A539" s="14" t="s">
        <v>75</v>
      </c>
      <c r="B539" s="11" t="s">
        <v>38</v>
      </c>
      <c r="C539" s="11" t="s">
        <v>39</v>
      </c>
      <c r="D539" s="24">
        <v>2</v>
      </c>
      <c r="E539" s="1" t="s">
        <v>163</v>
      </c>
      <c r="F539" s="2">
        <v>0.24555704351473884</v>
      </c>
      <c r="G539" s="2">
        <v>1.610121824136562</v>
      </c>
      <c r="H539" s="2">
        <v>17.042210256862919</v>
      </c>
      <c r="I539" s="2">
        <v>20.707446365860559</v>
      </c>
      <c r="J539" s="2">
        <v>8.3015022028770109E-3</v>
      </c>
      <c r="K539" s="2">
        <v>12.743027266080565</v>
      </c>
      <c r="L539" s="2">
        <v>6.5928379139798418E-2</v>
      </c>
      <c r="M539" s="2">
        <v>3.4210370487337903E-2</v>
      </c>
      <c r="N539" s="2">
        <v>3.8723092321355575E-2</v>
      </c>
      <c r="O539" s="2">
        <v>2.1686925839318523</v>
      </c>
      <c r="P539" s="3">
        <v>63.043496265376554</v>
      </c>
      <c r="Q539" s="3">
        <v>0.10406001856834639</v>
      </c>
    </row>
    <row r="540" spans="1:17" x14ac:dyDescent="0.3">
      <c r="A540" s="14" t="s">
        <v>76</v>
      </c>
      <c r="B540" s="11" t="s">
        <v>38</v>
      </c>
      <c r="C540" s="11" t="s">
        <v>39</v>
      </c>
      <c r="D540" s="24">
        <v>2</v>
      </c>
      <c r="E540" s="1" t="s">
        <v>163</v>
      </c>
      <c r="F540" s="2">
        <v>0.2485245002339502</v>
      </c>
      <c r="G540" s="2">
        <v>5.7590499702262807</v>
      </c>
      <c r="H540" s="2">
        <v>11.908376732279988</v>
      </c>
      <c r="I540" s="2">
        <v>20.894421050879618</v>
      </c>
      <c r="J540" s="2">
        <v>6.6412017623016087E-2</v>
      </c>
      <c r="K540" s="2">
        <v>10.077211691067639</v>
      </c>
      <c r="L540" s="2">
        <v>0.19778513741939527</v>
      </c>
      <c r="M540" s="2">
        <v>0.14368355604681918</v>
      </c>
      <c r="N540" s="2">
        <v>8.5190803106982266E-2</v>
      </c>
      <c r="O540" s="4">
        <v>6.1174231668615331</v>
      </c>
      <c r="P540" s="3">
        <v>68.385165681008644</v>
      </c>
      <c r="Q540" s="3">
        <v>0.62222573731156705</v>
      </c>
    </row>
    <row r="541" spans="1:17" x14ac:dyDescent="0.3">
      <c r="A541" s="14" t="s">
        <v>77</v>
      </c>
      <c r="B541" s="11" t="s">
        <v>38</v>
      </c>
      <c r="C541" s="11" t="s">
        <v>39</v>
      </c>
      <c r="D541" s="24">
        <v>2</v>
      </c>
      <c r="E541" s="1" t="s">
        <v>163</v>
      </c>
      <c r="F541" s="2">
        <v>0.24778263605414735</v>
      </c>
      <c r="G541" s="2">
        <v>5.5359244739976177</v>
      </c>
      <c r="H541" s="2">
        <v>11.643746138229321</v>
      </c>
      <c r="I541" s="2">
        <v>20.987908393389144</v>
      </c>
      <c r="J541" s="2">
        <v>6.6412017623016087E-2</v>
      </c>
      <c r="K541" s="2">
        <v>10.027182980544607</v>
      </c>
      <c r="L541" s="2">
        <v>0.22775258248293997</v>
      </c>
      <c r="M541" s="2">
        <v>0.15052563014428674</v>
      </c>
      <c r="N541" s="2">
        <v>0.1006800400355245</v>
      </c>
      <c r="O541" s="4">
        <v>6.4516661099047941</v>
      </c>
      <c r="P541" s="3">
        <v>66.347485227922689</v>
      </c>
      <c r="Q541" s="3">
        <v>0.66637426482078355</v>
      </c>
    </row>
    <row r="542" spans="1:17" x14ac:dyDescent="0.3">
      <c r="A542" s="14" t="s">
        <v>78</v>
      </c>
      <c r="B542" s="11" t="s">
        <v>38</v>
      </c>
      <c r="C542" s="11" t="s">
        <v>39</v>
      </c>
      <c r="D542" s="24">
        <v>2</v>
      </c>
      <c r="E542" s="1" t="s">
        <v>163</v>
      </c>
      <c r="F542" s="2">
        <v>0.23591280917730198</v>
      </c>
      <c r="G542" s="2">
        <v>5.4635594481937275</v>
      </c>
      <c r="H542" s="2">
        <v>12.173007326330655</v>
      </c>
      <c r="I542" s="2">
        <v>20.894421050879618</v>
      </c>
      <c r="J542" s="2">
        <v>5.8110515420139085E-2</v>
      </c>
      <c r="K542" s="2">
        <v>10.091505608359933</v>
      </c>
      <c r="L542" s="2">
        <v>0.18579815939397734</v>
      </c>
      <c r="M542" s="2">
        <v>0.13684148194935161</v>
      </c>
      <c r="N542" s="2">
        <v>8.5190803106982266E-2</v>
      </c>
      <c r="O542" s="4">
        <v>6.1096500751628531</v>
      </c>
      <c r="P542" s="3">
        <v>67.263540015580091</v>
      </c>
      <c r="Q542" s="3">
        <v>0.57995997428088175</v>
      </c>
    </row>
    <row r="543" spans="1:17" x14ac:dyDescent="0.3">
      <c r="A543" s="14" t="s">
        <v>79</v>
      </c>
      <c r="B543" s="15" t="s">
        <v>80</v>
      </c>
      <c r="C543" s="11" t="s">
        <v>81</v>
      </c>
      <c r="D543" s="24">
        <v>2</v>
      </c>
      <c r="E543" s="1" t="s">
        <v>163</v>
      </c>
      <c r="F543" s="2">
        <v>0.17804740315268072</v>
      </c>
      <c r="G543" s="2">
        <v>2.3639241762604204</v>
      </c>
      <c r="H543" s="2">
        <v>15.666131167799453</v>
      </c>
      <c r="I543" s="2">
        <v>20.707446365860559</v>
      </c>
      <c r="J543" s="2">
        <v>6.6412017623016087E-2</v>
      </c>
      <c r="K543" s="2">
        <v>12.149829698450343</v>
      </c>
      <c r="L543" s="2">
        <v>0.13185675827959684</v>
      </c>
      <c r="M543" s="2">
        <v>5.4736592779740641E-2</v>
      </c>
      <c r="N543" s="2">
        <v>4.6467710785626684E-2</v>
      </c>
      <c r="O543" s="2">
        <v>3.1558752296642725</v>
      </c>
      <c r="P543" s="3">
        <v>63.249957238728626</v>
      </c>
      <c r="Q543" s="3">
        <v>0.18098121564401479</v>
      </c>
    </row>
    <row r="544" spans="1:17" x14ac:dyDescent="0.3">
      <c r="A544" s="14" t="s">
        <v>82</v>
      </c>
      <c r="B544" s="11" t="s">
        <v>83</v>
      </c>
      <c r="C544" s="11" t="s">
        <v>84</v>
      </c>
      <c r="D544" s="24">
        <v>2</v>
      </c>
      <c r="E544" s="1" t="s">
        <v>163</v>
      </c>
      <c r="F544" s="2">
        <v>0.22255925394085091</v>
      </c>
      <c r="G544" s="2">
        <v>2.454380458515284</v>
      </c>
      <c r="H544" s="2">
        <v>15.348574454938651</v>
      </c>
      <c r="I544" s="2">
        <v>20.941164722134381</v>
      </c>
      <c r="J544" s="2">
        <v>3.3206008811508043E-2</v>
      </c>
      <c r="K544" s="2">
        <v>12.07836011198887</v>
      </c>
      <c r="L544" s="2">
        <v>0.16781769235585053</v>
      </c>
      <c r="M544" s="2">
        <v>5.7000000000000002E-2</v>
      </c>
      <c r="N544" s="2">
        <v>4.6467710785626684E-2</v>
      </c>
      <c r="O544" s="2">
        <v>3.1558752296642725</v>
      </c>
      <c r="P544" s="3">
        <v>64.118392247405339</v>
      </c>
      <c r="Q544" s="3">
        <v>0.19234233179076513</v>
      </c>
    </row>
    <row r="545" spans="1:17" x14ac:dyDescent="0.3">
      <c r="A545" s="14" t="s">
        <v>85</v>
      </c>
      <c r="B545" s="11" t="s">
        <v>86</v>
      </c>
      <c r="C545" s="11" t="s">
        <v>87</v>
      </c>
      <c r="D545" s="24">
        <v>2</v>
      </c>
      <c r="E545" s="1" t="s">
        <v>163</v>
      </c>
      <c r="F545" s="2">
        <v>0.18027299569208924</v>
      </c>
      <c r="G545" s="2">
        <v>2.3639241762604204</v>
      </c>
      <c r="H545" s="2">
        <v>15.660838555918438</v>
      </c>
      <c r="I545" s="2">
        <v>20.712120732986037</v>
      </c>
      <c r="J545" s="2">
        <v>6.80723180635915E-2</v>
      </c>
      <c r="K545" s="2">
        <v>12.142682739804195</v>
      </c>
      <c r="L545" s="2">
        <v>0.13305545608213862</v>
      </c>
      <c r="M545" s="2">
        <v>5.4736592779740641E-2</v>
      </c>
      <c r="N545" s="2">
        <v>4.9565558171335136E-2</v>
      </c>
      <c r="O545" s="2">
        <v>3.1558752296642725</v>
      </c>
      <c r="P545" s="3">
        <v>63.249957238728626</v>
      </c>
      <c r="Q545" s="3">
        <v>0.18104226787894104</v>
      </c>
    </row>
    <row r="546" spans="1:17" x14ac:dyDescent="0.3">
      <c r="A546" s="14" t="s">
        <v>88</v>
      </c>
      <c r="B546" s="11" t="s">
        <v>38</v>
      </c>
      <c r="C546" s="11" t="s">
        <v>39</v>
      </c>
      <c r="D546" s="24">
        <v>2</v>
      </c>
      <c r="E546" s="1" t="s">
        <v>163</v>
      </c>
      <c r="F546" s="2">
        <v>0.25297568531276721</v>
      </c>
      <c r="G546" s="2">
        <v>2.9669660579595076</v>
      </c>
      <c r="H546" s="2">
        <v>15.98368788066025</v>
      </c>
      <c r="I546" s="2">
        <v>20.613959023351033</v>
      </c>
      <c r="J546" s="2">
        <v>2.4904506608631034E-2</v>
      </c>
      <c r="K546" s="2">
        <v>12.221299284911817</v>
      </c>
      <c r="L546" s="2">
        <v>0.10788280222876104</v>
      </c>
      <c r="M546" s="2">
        <v>4.7894518682273061E-2</v>
      </c>
      <c r="N546" s="2">
        <v>3.8723092321355575E-2</v>
      </c>
      <c r="O546" s="4">
        <v>2.4562969767830301</v>
      </c>
      <c r="P546" s="3">
        <v>73.512506792377366</v>
      </c>
      <c r="Q546" s="3">
        <v>0.15525237380807119</v>
      </c>
    </row>
    <row r="547" spans="1:17" x14ac:dyDescent="0.3">
      <c r="A547" s="14" t="s">
        <v>89</v>
      </c>
      <c r="B547" s="11" t="s">
        <v>38</v>
      </c>
      <c r="C547" s="11" t="s">
        <v>39</v>
      </c>
      <c r="D547" s="24">
        <v>2</v>
      </c>
      <c r="E547" s="1" t="s">
        <v>163</v>
      </c>
      <c r="F547" s="2">
        <v>0.26484551218961255</v>
      </c>
      <c r="G547" s="2">
        <v>3.5338254267566493</v>
      </c>
      <c r="H547" s="2">
        <v>14.237125959925852</v>
      </c>
      <c r="I547" s="2">
        <v>20.987908393389144</v>
      </c>
      <c r="J547" s="2">
        <v>0.27394957269494141</v>
      </c>
      <c r="K547" s="2">
        <v>11.163549405282021</v>
      </c>
      <c r="L547" s="2">
        <v>0.19778513741939527</v>
      </c>
      <c r="M547" s="2">
        <v>0.10263111146201369</v>
      </c>
      <c r="N547" s="2">
        <v>6.9701566178440033E-2</v>
      </c>
      <c r="O547" s="4">
        <v>4.3684775346584264</v>
      </c>
      <c r="P547" s="3">
        <v>65.018769005757292</v>
      </c>
      <c r="Q547" s="3">
        <v>0.37268279453065212</v>
      </c>
    </row>
    <row r="548" spans="1:17" x14ac:dyDescent="0.3">
      <c r="A548" s="14" t="s">
        <v>90</v>
      </c>
      <c r="B548" s="11" t="s">
        <v>38</v>
      </c>
      <c r="C548" s="11" t="s">
        <v>39</v>
      </c>
      <c r="D548" s="24">
        <v>2</v>
      </c>
      <c r="E548" s="1" t="s">
        <v>163</v>
      </c>
      <c r="F548" s="2">
        <v>0.2730060181674438</v>
      </c>
      <c r="G548" s="2">
        <v>3.4313083068678045</v>
      </c>
      <c r="H548" s="2">
        <v>14.448830435166386</v>
      </c>
      <c r="I548" s="2">
        <v>20.987908393389144</v>
      </c>
      <c r="J548" s="2">
        <v>0.29885407930357238</v>
      </c>
      <c r="K548" s="2">
        <v>11.177843322574317</v>
      </c>
      <c r="L548" s="2">
        <v>0.17381118136855944</v>
      </c>
      <c r="M548" s="2">
        <v>8.8946963267078544E-2</v>
      </c>
      <c r="N548" s="2">
        <v>6.1956947714168917E-2</v>
      </c>
      <c r="O548" s="4">
        <v>4.2907466176716218</v>
      </c>
      <c r="P548" s="3">
        <v>64.757088895212647</v>
      </c>
      <c r="Q548" s="3">
        <v>0.31843257754433368</v>
      </c>
    </row>
    <row r="549" spans="1:17" x14ac:dyDescent="0.3">
      <c r="A549" s="14" t="s">
        <v>91</v>
      </c>
      <c r="B549" s="11" t="s">
        <v>38</v>
      </c>
      <c r="C549" s="11" t="s">
        <v>39</v>
      </c>
      <c r="D549" s="24">
        <v>2</v>
      </c>
      <c r="E549" s="1" t="s">
        <v>163</v>
      </c>
      <c r="F549" s="2">
        <v>0.26855483308862677</v>
      </c>
      <c r="G549" s="2">
        <v>3.4855820762207226</v>
      </c>
      <c r="H549" s="2">
        <v>14.34297819754612</v>
      </c>
      <c r="I549" s="2">
        <v>20.987908393389144</v>
      </c>
      <c r="J549" s="2">
        <v>2.4904506608631034E-2</v>
      </c>
      <c r="K549" s="2">
        <v>11.170696363928169</v>
      </c>
      <c r="L549" s="2">
        <v>0.18579815939397734</v>
      </c>
      <c r="M549" s="2">
        <v>9.5789037364546123E-2</v>
      </c>
      <c r="N549" s="2">
        <v>6.9701566178440033E-2</v>
      </c>
      <c r="O549" s="4">
        <v>4.3296120761650245</v>
      </c>
      <c r="P549" s="3">
        <v>64.909305424167755</v>
      </c>
      <c r="Q549" s="3">
        <v>0.34536488357608075</v>
      </c>
    </row>
    <row r="550" spans="1:17" x14ac:dyDescent="0.3">
      <c r="A550" s="14" t="s">
        <v>92</v>
      </c>
      <c r="B550" s="11" t="s">
        <v>38</v>
      </c>
      <c r="C550" s="11" t="s">
        <v>39</v>
      </c>
      <c r="D550" s="24">
        <v>2</v>
      </c>
      <c r="E550" s="1" t="s">
        <v>163</v>
      </c>
      <c r="F550" s="2">
        <v>0.24926636441375302</v>
      </c>
      <c r="G550" s="2">
        <v>4.9630346863834855</v>
      </c>
      <c r="H550" s="2">
        <v>12.966899108482654</v>
      </c>
      <c r="I550" s="2">
        <v>20.613959023351033</v>
      </c>
      <c r="J550" s="2">
        <v>4.9809013217262069E-2</v>
      </c>
      <c r="K550" s="2">
        <v>10.120093442944523</v>
      </c>
      <c r="L550" s="2">
        <v>0.14983722531772367</v>
      </c>
      <c r="M550" s="2">
        <v>0.11631525965694886</v>
      </c>
      <c r="N550" s="2">
        <v>6.9701566178440033E-2</v>
      </c>
      <c r="O550" s="4">
        <v>6.1796079004509776</v>
      </c>
      <c r="P550" s="3">
        <v>64.854745170117141</v>
      </c>
      <c r="Q550" s="3">
        <v>0.46332729411540363</v>
      </c>
    </row>
    <row r="551" spans="1:17" x14ac:dyDescent="0.3">
      <c r="A551" s="14" t="s">
        <v>93</v>
      </c>
      <c r="B551" s="11" t="s">
        <v>38</v>
      </c>
      <c r="C551" s="11" t="s">
        <v>39</v>
      </c>
      <c r="D551" s="24">
        <v>2</v>
      </c>
      <c r="E551" s="1" t="s">
        <v>163</v>
      </c>
      <c r="F551" s="2">
        <v>0.29229448684231751</v>
      </c>
      <c r="G551" s="2">
        <v>2.3518633386264387</v>
      </c>
      <c r="H551" s="2">
        <v>16.301244593521051</v>
      </c>
      <c r="I551" s="2">
        <v>20.800933708370088</v>
      </c>
      <c r="J551" s="2">
        <v>0.14942703965178619</v>
      </c>
      <c r="K551" s="2">
        <v>12.021184442819694</v>
      </c>
      <c r="L551" s="2">
        <v>9.5895824203343152E-2</v>
      </c>
      <c r="M551" s="2">
        <v>4.1052444584805475E-2</v>
      </c>
      <c r="N551" s="2">
        <v>3.0978473857084458E-2</v>
      </c>
      <c r="O551" s="4">
        <v>2.4485238850843491</v>
      </c>
      <c r="P551" s="3">
        <v>68.817917362971613</v>
      </c>
      <c r="Q551" s="3">
        <v>0.13051345288526561</v>
      </c>
    </row>
    <row r="552" spans="1:17" x14ac:dyDescent="0.3">
      <c r="A552" s="14" t="s">
        <v>94</v>
      </c>
      <c r="B552" s="11" t="s">
        <v>38</v>
      </c>
      <c r="C552" s="11" t="s">
        <v>39</v>
      </c>
      <c r="D552" s="24">
        <v>2</v>
      </c>
      <c r="E552" s="1" t="s">
        <v>163</v>
      </c>
      <c r="F552" s="2">
        <v>0.23962213007631616</v>
      </c>
      <c r="G552" s="2">
        <v>2.3940762703453751</v>
      </c>
      <c r="H552" s="2">
        <v>15.507352811369053</v>
      </c>
      <c r="I552" s="2">
        <v>20.847677379624855</v>
      </c>
      <c r="J552" s="2">
        <v>3.3206008811508043E-2</v>
      </c>
      <c r="K552" s="2">
        <v>12.228446243557963</v>
      </c>
      <c r="L552" s="2">
        <v>0.11387629124146999</v>
      </c>
      <c r="M552" s="2">
        <v>6.1578666877208213E-2</v>
      </c>
      <c r="N552" s="2">
        <v>3.8723092321355575E-2</v>
      </c>
      <c r="O552" s="4">
        <v>3.2102868715550357</v>
      </c>
      <c r="P552" s="3">
        <v>63.147157189154527</v>
      </c>
      <c r="Q552" s="3">
        <v>0.20563774123583772</v>
      </c>
    </row>
    <row r="553" spans="1:17" x14ac:dyDescent="0.3">
      <c r="A553" s="14" t="s">
        <v>95</v>
      </c>
      <c r="B553" s="11" t="s">
        <v>96</v>
      </c>
      <c r="C553" s="11" t="s">
        <v>97</v>
      </c>
      <c r="D553" s="24">
        <v>2</v>
      </c>
      <c r="E553" s="1" t="s">
        <v>163</v>
      </c>
      <c r="F553" s="2">
        <v>0.24629890769454169</v>
      </c>
      <c r="G553" s="2">
        <v>4.4625099245732436</v>
      </c>
      <c r="H553" s="2">
        <v>14.448830435166386</v>
      </c>
      <c r="I553" s="2">
        <v>20.286753324567684</v>
      </c>
      <c r="J553" s="2">
        <v>1.7433154626041725E-2</v>
      </c>
      <c r="K553" s="2">
        <v>12.221299284911817</v>
      </c>
      <c r="L553" s="2">
        <v>7.4319263757590945E-2</v>
      </c>
      <c r="M553" s="2">
        <v>5.6105007599234154E-2</v>
      </c>
      <c r="N553" s="2">
        <v>4.3369863399918246E-2</v>
      </c>
      <c r="O553" s="2">
        <v>2.5495740771671955</v>
      </c>
      <c r="P553" s="3">
        <v>80.086078220455605</v>
      </c>
      <c r="Q553" s="3">
        <v>0.20109390836452667</v>
      </c>
    </row>
    <row r="554" spans="1:17" x14ac:dyDescent="0.3">
      <c r="A554" s="14" t="s">
        <v>98</v>
      </c>
      <c r="B554" s="11" t="s">
        <v>83</v>
      </c>
      <c r="C554" s="11" t="s">
        <v>84</v>
      </c>
      <c r="D554" s="24">
        <v>2</v>
      </c>
      <c r="E554" s="1" t="s">
        <v>163</v>
      </c>
      <c r="F554" s="2">
        <v>0.22997789573887928</v>
      </c>
      <c r="G554" s="2">
        <v>2.2312549622866218</v>
      </c>
      <c r="H554" s="2">
        <v>16.407096831141317</v>
      </c>
      <c r="I554" s="2">
        <v>20.567215352096269</v>
      </c>
      <c r="J554" s="2">
        <v>3.3206008811508043E-2</v>
      </c>
      <c r="K554" s="2">
        <v>12.149829698450343</v>
      </c>
      <c r="L554" s="2">
        <v>0.1018893132160521</v>
      </c>
      <c r="M554" s="2">
        <v>5.5700000000000006E-2</v>
      </c>
      <c r="N554" s="2">
        <v>3.8723092321355575E-2</v>
      </c>
      <c r="O554" s="2">
        <v>2.9926403039919829</v>
      </c>
      <c r="P554" s="3">
        <v>63.141827468947248</v>
      </c>
      <c r="Q554" s="3">
        <v>0.17585844997370467</v>
      </c>
    </row>
    <row r="555" spans="1:17" x14ac:dyDescent="0.3">
      <c r="A555" s="14" t="s">
        <v>94</v>
      </c>
      <c r="B555" s="11" t="s">
        <v>83</v>
      </c>
      <c r="C555" s="11" t="s">
        <v>84</v>
      </c>
      <c r="D555" s="24">
        <v>2</v>
      </c>
      <c r="E555" s="1" t="s">
        <v>163</v>
      </c>
      <c r="F555" s="2">
        <v>0.23739653753690765</v>
      </c>
      <c r="G555" s="2">
        <v>2.3940762703453751</v>
      </c>
      <c r="H555" s="2">
        <v>15.507352811369053</v>
      </c>
      <c r="I555" s="2">
        <v>20.847677379624855</v>
      </c>
      <c r="J555" s="2">
        <v>3.3206008811508043E-2</v>
      </c>
      <c r="K555" s="2">
        <v>12.221299284911817</v>
      </c>
      <c r="L555" s="2">
        <v>0.11387629124146999</v>
      </c>
      <c r="M555" s="2">
        <v>6.0500000000000005E-2</v>
      </c>
      <c r="N555" s="2">
        <v>3.8723092321355575E-2</v>
      </c>
      <c r="O555" s="2">
        <v>3.2102868715550357</v>
      </c>
      <c r="P555" s="3">
        <v>63.147157189154527</v>
      </c>
      <c r="Q555" s="3">
        <v>0.20204288492044115</v>
      </c>
    </row>
    <row r="556" spans="1:17" x14ac:dyDescent="0.3">
      <c r="A556" s="14" t="s">
        <v>99</v>
      </c>
      <c r="B556" s="11" t="s">
        <v>83</v>
      </c>
      <c r="C556" s="11" t="s">
        <v>84</v>
      </c>
      <c r="D556" s="24">
        <v>2</v>
      </c>
      <c r="E556" s="1" t="s">
        <v>163</v>
      </c>
      <c r="F556" s="2">
        <v>0.28190838832507781</v>
      </c>
      <c r="G556" s="2">
        <v>2.490562971417229</v>
      </c>
      <c r="H556" s="2">
        <v>15.401500573748786</v>
      </c>
      <c r="I556" s="2">
        <v>20.987908393389144</v>
      </c>
      <c r="J556" s="2">
        <v>3.3206008811508043E-2</v>
      </c>
      <c r="K556" s="2">
        <v>11.935420939065926</v>
      </c>
      <c r="L556" s="2">
        <v>0.10788280222876104</v>
      </c>
      <c r="M556" s="2">
        <v>5.1000000000000004E-2</v>
      </c>
      <c r="N556" s="2">
        <v>4.6467710785626684E-2</v>
      </c>
      <c r="O556" s="2">
        <v>3.0315057624853847</v>
      </c>
      <c r="P556" s="3">
        <v>65.370094098867114</v>
      </c>
      <c r="Q556" s="3">
        <v>0.1715401216035651</v>
      </c>
    </row>
    <row r="557" spans="1:17" x14ac:dyDescent="0.3">
      <c r="A557" s="16" t="s">
        <v>148</v>
      </c>
      <c r="B557" s="11" t="s">
        <v>100</v>
      </c>
      <c r="C557" s="11" t="s">
        <v>101</v>
      </c>
      <c r="D557" s="24">
        <v>2</v>
      </c>
      <c r="E557" s="1" t="s">
        <v>163</v>
      </c>
      <c r="F557" s="2">
        <v>0.27523161070685231</v>
      </c>
      <c r="G557" s="2">
        <v>3.9258026498610556</v>
      </c>
      <c r="H557" s="2">
        <v>14.660534910406918</v>
      </c>
      <c r="I557" s="2">
        <v>20.333496995822447</v>
      </c>
      <c r="J557" s="2">
        <v>2.9968422952386012E-2</v>
      </c>
      <c r="K557" s="2">
        <v>11.220725074451199</v>
      </c>
      <c r="L557" s="2">
        <v>6.2332285732173046E-2</v>
      </c>
      <c r="M557" s="2">
        <v>4.406295718769121E-2</v>
      </c>
      <c r="N557" s="2">
        <v>3.6632045336002374E-2</v>
      </c>
      <c r="O557" s="2">
        <v>2.5495740771671955</v>
      </c>
      <c r="P557" s="3">
        <v>77.963531216688295</v>
      </c>
      <c r="Q557" s="3">
        <v>0.15572244208697711</v>
      </c>
    </row>
    <row r="558" spans="1:17" x14ac:dyDescent="0.3">
      <c r="A558" s="16" t="s">
        <v>102</v>
      </c>
      <c r="B558" s="11" t="s">
        <v>100</v>
      </c>
      <c r="C558" s="11" t="s">
        <v>101</v>
      </c>
      <c r="D558" s="24">
        <v>2</v>
      </c>
      <c r="E558" s="1" t="s">
        <v>163</v>
      </c>
      <c r="F558" s="2">
        <v>0.26707110472902107</v>
      </c>
      <c r="G558" s="2">
        <v>3.3649736998809048</v>
      </c>
      <c r="H558" s="2">
        <v>15.771983405419718</v>
      </c>
      <c r="I558" s="2">
        <v>20.520471680841503</v>
      </c>
      <c r="J558" s="2">
        <v>5.8857650618398018E-2</v>
      </c>
      <c r="K558" s="2">
        <v>12.292768871373289</v>
      </c>
      <c r="L558" s="2">
        <v>7.1921868152507354E-2</v>
      </c>
      <c r="M558" s="2">
        <v>3.858929790971715E-2</v>
      </c>
      <c r="N558" s="2">
        <v>2.9119765425659392E-2</v>
      </c>
      <c r="O558" s="2">
        <v>2.1997849507265741</v>
      </c>
      <c r="P558" s="3">
        <v>77.850207701783148</v>
      </c>
      <c r="Q558" s="3">
        <v>0.12680422245049755</v>
      </c>
    </row>
    <row r="559" spans="1:17" x14ac:dyDescent="0.3">
      <c r="A559" s="14" t="s">
        <v>103</v>
      </c>
      <c r="B559" s="11" t="s">
        <v>38</v>
      </c>
      <c r="C559" s="11" t="s">
        <v>39</v>
      </c>
      <c r="D559" s="24">
        <v>2</v>
      </c>
      <c r="E559" s="1" t="s">
        <v>163</v>
      </c>
      <c r="F559" s="2">
        <v>0.25149195695316157</v>
      </c>
      <c r="G559" s="2">
        <v>2.1227074235807861</v>
      </c>
      <c r="H559" s="2">
        <v>15.877835643039985</v>
      </c>
      <c r="I559" s="2">
        <v>20.567215352096269</v>
      </c>
      <c r="J559" s="2">
        <v>1.6603004405754022E-2</v>
      </c>
      <c r="K559" s="2">
        <v>12.621528969096063</v>
      </c>
      <c r="L559" s="2">
        <v>0.1018893132160521</v>
      </c>
      <c r="M559" s="2">
        <v>5.4736592779740641E-2</v>
      </c>
      <c r="N559" s="2">
        <v>4.6467710785626684E-2</v>
      </c>
      <c r="O559" s="4">
        <v>3.0315057624853847</v>
      </c>
      <c r="P559" s="3">
        <v>61.669198877243581</v>
      </c>
      <c r="Q559" s="3">
        <v>0.17857244186977594</v>
      </c>
    </row>
    <row r="560" spans="1:17" x14ac:dyDescent="0.3">
      <c r="A560" s="13" t="s">
        <v>104</v>
      </c>
      <c r="B560" s="11" t="s">
        <v>16</v>
      </c>
      <c r="C560" s="11" t="s">
        <v>17</v>
      </c>
      <c r="D560" s="24">
        <v>2</v>
      </c>
      <c r="E560" s="1" t="s">
        <v>163</v>
      </c>
      <c r="F560" s="2">
        <v>0.2596524629309927</v>
      </c>
      <c r="G560" s="2">
        <v>3.2142132294561332</v>
      </c>
      <c r="H560" s="2">
        <v>14.395904316356253</v>
      </c>
      <c r="I560" s="2">
        <v>21.081395735898674</v>
      </c>
      <c r="J560" s="2">
        <v>1.6603004405754022E-2</v>
      </c>
      <c r="K560" s="2">
        <v>11.292194660912672</v>
      </c>
      <c r="L560" s="2">
        <v>0.16182420334314157</v>
      </c>
      <c r="M560" s="2">
        <v>8.2104889169610951E-2</v>
      </c>
      <c r="N560" s="2">
        <v>6.1956947714168917E-2</v>
      </c>
      <c r="O560" s="2">
        <v>4.3062928010689827</v>
      </c>
      <c r="P560" s="3">
        <v>63.16735572076783</v>
      </c>
      <c r="Q560" s="3">
        <v>0.29508750969277425</v>
      </c>
    </row>
    <row r="561" spans="1:17" x14ac:dyDescent="0.3">
      <c r="A561" s="14" t="s">
        <v>105</v>
      </c>
      <c r="B561" s="15" t="s">
        <v>106</v>
      </c>
      <c r="C561" s="11" t="s">
        <v>107</v>
      </c>
      <c r="D561" s="24">
        <v>2</v>
      </c>
      <c r="E561" s="1" t="s">
        <v>163</v>
      </c>
      <c r="F561" s="2">
        <v>0.22500000000000001</v>
      </c>
      <c r="G561" s="2">
        <v>4.78</v>
      </c>
      <c r="H561" s="2">
        <v>13.4</v>
      </c>
      <c r="I561" s="2">
        <v>21.72</v>
      </c>
      <c r="J561" s="2">
        <v>2.3E-2</v>
      </c>
      <c r="K561" s="2">
        <v>10.8</v>
      </c>
      <c r="L561" s="2">
        <v>0.14000000000000001</v>
      </c>
      <c r="M561" s="2">
        <v>8.6199999999999999E-2</v>
      </c>
      <c r="N561" s="2">
        <v>5.8700000000000002E-2</v>
      </c>
      <c r="O561" s="2">
        <v>4.2</v>
      </c>
      <c r="P561" s="3">
        <v>72.337279188857181</v>
      </c>
      <c r="Q561" s="3">
        <v>0.33270501086594123</v>
      </c>
    </row>
    <row r="562" spans="1:17" x14ac:dyDescent="0.3">
      <c r="A562" s="14" t="s">
        <v>108</v>
      </c>
      <c r="B562" s="15" t="s">
        <v>109</v>
      </c>
      <c r="C562" s="11" t="s">
        <v>110</v>
      </c>
      <c r="D562" s="24">
        <v>2</v>
      </c>
      <c r="E562" s="1" t="s">
        <v>163</v>
      </c>
      <c r="F562" s="2">
        <v>0.24099999999999999</v>
      </c>
      <c r="G562" s="2">
        <v>4.25</v>
      </c>
      <c r="H562" s="2">
        <v>13.3</v>
      </c>
      <c r="I562" s="2">
        <v>20.936799999999991</v>
      </c>
      <c r="J562" s="2">
        <v>2.9000000000000001E-2</v>
      </c>
      <c r="K562" s="2">
        <v>11.4</v>
      </c>
      <c r="L562" s="2">
        <v>0.22</v>
      </c>
      <c r="M562" s="2">
        <v>0.10340000000000001</v>
      </c>
      <c r="N562" s="2">
        <v>7.3400000000000007E-2</v>
      </c>
      <c r="O562" s="2">
        <v>5.05</v>
      </c>
      <c r="P562" s="3">
        <v>65.913202983213523</v>
      </c>
      <c r="Q562" s="3">
        <v>0.40181350691910123</v>
      </c>
    </row>
    <row r="563" spans="1:17" x14ac:dyDescent="0.3">
      <c r="A563" s="14" t="s">
        <v>111</v>
      </c>
      <c r="B563" s="15" t="s">
        <v>112</v>
      </c>
      <c r="C563" s="11" t="s">
        <v>113</v>
      </c>
      <c r="D563" s="24">
        <v>2</v>
      </c>
      <c r="E563" s="1" t="s">
        <v>163</v>
      </c>
      <c r="F563" s="2">
        <v>0.25223382113296439</v>
      </c>
      <c r="G563" s="2">
        <v>3.4976429138547038</v>
      </c>
      <c r="H563" s="2">
        <v>14.660534910406918</v>
      </c>
      <c r="I563" s="2">
        <v>20.389589401328159</v>
      </c>
      <c r="J563" s="2">
        <v>2.3244206168055632E-2</v>
      </c>
      <c r="K563" s="2">
        <v>10.93484672860531</v>
      </c>
      <c r="L563" s="2">
        <v>0.17980467038126841</v>
      </c>
      <c r="M563" s="2">
        <v>8.5525926218344747E-2</v>
      </c>
      <c r="N563" s="2">
        <v>6.7378180639158694E-2</v>
      </c>
      <c r="O563" s="2">
        <v>5.2079714381159183</v>
      </c>
      <c r="P563" s="3">
        <v>60.677993744284521</v>
      </c>
      <c r="Q563" s="3">
        <v>0.30181403314571142</v>
      </c>
    </row>
    <row r="564" spans="1:17" x14ac:dyDescent="0.3">
      <c r="A564" s="14" t="s">
        <v>114</v>
      </c>
      <c r="B564" s="15" t="s">
        <v>115</v>
      </c>
      <c r="C564" s="11" t="s">
        <v>116</v>
      </c>
      <c r="D564" s="24">
        <v>2</v>
      </c>
      <c r="E564" s="1" t="s">
        <v>163</v>
      </c>
      <c r="F564" s="2">
        <v>0.27374788234724662</v>
      </c>
      <c r="G564" s="2">
        <v>2.8101751687177452</v>
      </c>
      <c r="H564" s="2">
        <v>15.295648336128519</v>
      </c>
      <c r="I564" s="2">
        <v>20.567215352096269</v>
      </c>
      <c r="J564" s="2">
        <v>4.9809013217262069E-2</v>
      </c>
      <c r="K564" s="2">
        <v>11.506603420297091</v>
      </c>
      <c r="L564" s="2">
        <v>0.10788280222876104</v>
      </c>
      <c r="M564" s="2">
        <v>5.959446538894262E-2</v>
      </c>
      <c r="N564" s="2">
        <v>3.8723092321355575E-2</v>
      </c>
      <c r="O564" s="2">
        <v>3.2646985134457993</v>
      </c>
      <c r="P564" s="3">
        <v>66.417986840871095</v>
      </c>
      <c r="Q564" s="3">
        <v>0.20177393447254732</v>
      </c>
    </row>
    <row r="565" spans="1:17" x14ac:dyDescent="0.3">
      <c r="A565" s="14" t="s">
        <v>117</v>
      </c>
      <c r="B565" s="15" t="s">
        <v>118</v>
      </c>
      <c r="C565" s="11" t="s">
        <v>119</v>
      </c>
      <c r="D565" s="24">
        <v>2</v>
      </c>
      <c r="E565" s="1" t="s">
        <v>163</v>
      </c>
      <c r="F565" s="2">
        <v>0.27819906742606365</v>
      </c>
      <c r="G565" s="2">
        <v>3.8896201369591106</v>
      </c>
      <c r="H565" s="2">
        <v>13.856057904492893</v>
      </c>
      <c r="I565" s="2">
        <v>20.847677379624855</v>
      </c>
      <c r="J565" s="2">
        <v>4.814871277668667E-2</v>
      </c>
      <c r="K565" s="2">
        <v>11.363664247374146</v>
      </c>
      <c r="L565" s="2">
        <v>0.17980467038126841</v>
      </c>
      <c r="M565" s="2">
        <v>9.168379290606557E-2</v>
      </c>
      <c r="N565" s="2">
        <v>6.1956947714168917E-2</v>
      </c>
      <c r="O565" s="2">
        <v>4.3684775346584264</v>
      </c>
      <c r="P565" s="3">
        <v>67.168034290305584</v>
      </c>
      <c r="Q565" s="3">
        <v>0.34219087179372526</v>
      </c>
    </row>
    <row r="566" spans="1:17" x14ac:dyDescent="0.3">
      <c r="A566" s="14" t="s">
        <v>120</v>
      </c>
      <c r="B566" s="11" t="s">
        <v>121</v>
      </c>
      <c r="C566" s="11" t="s">
        <v>122</v>
      </c>
      <c r="D566" s="24">
        <v>2</v>
      </c>
      <c r="E566" s="1" t="s">
        <v>163</v>
      </c>
      <c r="F566" s="2">
        <v>0.26484551218961255</v>
      </c>
      <c r="G566" s="2">
        <v>4.1006847955537911</v>
      </c>
      <c r="H566" s="2">
        <v>13.607305146085267</v>
      </c>
      <c r="I566" s="2">
        <v>20.291427691693158</v>
      </c>
      <c r="J566" s="2">
        <v>2.5734656828918734E-2</v>
      </c>
      <c r="K566" s="2">
        <v>10.85623018349769</v>
      </c>
      <c r="L566" s="2">
        <v>0.16781769235585053</v>
      </c>
      <c r="M566" s="2">
        <v>0.11699946706669562</v>
      </c>
      <c r="N566" s="2">
        <v>6.5829256946304482E-2</v>
      </c>
      <c r="O566" s="2">
        <v>4.8970477701686983</v>
      </c>
      <c r="P566" s="3">
        <v>65.80056633781146</v>
      </c>
      <c r="Q566" s="3">
        <v>0.444204047357524</v>
      </c>
    </row>
    <row r="567" spans="1:17" x14ac:dyDescent="0.3">
      <c r="A567" s="14" t="s">
        <v>123</v>
      </c>
      <c r="B567" s="11" t="s">
        <v>121</v>
      </c>
      <c r="C567" s="11" t="s">
        <v>122</v>
      </c>
      <c r="D567" s="24">
        <v>2</v>
      </c>
      <c r="E567" s="1" t="s">
        <v>163</v>
      </c>
      <c r="F567" s="2">
        <v>0.22478484648025943</v>
      </c>
      <c r="G567" s="2">
        <v>2.56895841603811</v>
      </c>
      <c r="H567" s="2">
        <v>15.322111395533584</v>
      </c>
      <c r="I567" s="2">
        <v>21.329137193548927</v>
      </c>
      <c r="J567" s="2">
        <v>9.7127575773661032E-2</v>
      </c>
      <c r="K567" s="2">
        <v>11.663836510512331</v>
      </c>
      <c r="L567" s="2">
        <v>0.14743982971264008</v>
      </c>
      <c r="M567" s="2">
        <v>6.0894459467461456E-2</v>
      </c>
      <c r="N567" s="2">
        <v>5.2663405557043581E-2</v>
      </c>
      <c r="O567" s="2">
        <v>3.5678490896943376</v>
      </c>
      <c r="P567" s="3">
        <v>62.326635044683762</v>
      </c>
      <c r="Q567" s="3">
        <v>0.2058110177414747</v>
      </c>
    </row>
    <row r="568" spans="1:17" x14ac:dyDescent="0.3">
      <c r="A568" s="14" t="s">
        <v>124</v>
      </c>
      <c r="B568" s="11" t="s">
        <v>121</v>
      </c>
      <c r="C568" s="11" t="s">
        <v>122</v>
      </c>
      <c r="D568" s="24">
        <v>2</v>
      </c>
      <c r="E568" s="1" t="s">
        <v>163</v>
      </c>
      <c r="F568" s="2">
        <v>0.22478484648025943</v>
      </c>
      <c r="G568" s="2">
        <v>2.5267454843191737</v>
      </c>
      <c r="H568" s="2">
        <v>15.491474975726012</v>
      </c>
      <c r="I568" s="2">
        <v>20.861700481001286</v>
      </c>
      <c r="J568" s="2">
        <v>2.116883061733638E-2</v>
      </c>
      <c r="K568" s="2">
        <v>11.528044296235533</v>
      </c>
      <c r="L568" s="2">
        <v>0.13665154948976396</v>
      </c>
      <c r="M568" s="2">
        <v>6.2604977991828348E-2</v>
      </c>
      <c r="N568" s="2">
        <v>4.7242172632053797E-2</v>
      </c>
      <c r="O568" s="2">
        <v>3.384404125605478</v>
      </c>
      <c r="P568" s="3">
        <v>63.173149600544775</v>
      </c>
      <c r="Q568" s="3">
        <v>0.20927169530090475</v>
      </c>
    </row>
    <row r="569" spans="1:17" x14ac:dyDescent="0.3">
      <c r="A569" s="14" t="s">
        <v>125</v>
      </c>
      <c r="B569" s="11" t="s">
        <v>38</v>
      </c>
      <c r="C569" s="11" t="s">
        <v>39</v>
      </c>
      <c r="D569" s="24">
        <v>2</v>
      </c>
      <c r="E569" s="1" t="s">
        <v>163</v>
      </c>
      <c r="F569" s="2">
        <v>0.24926636441375302</v>
      </c>
      <c r="G569" s="2">
        <v>3.8896201369591106</v>
      </c>
      <c r="H569" s="2">
        <v>14.554682672786653</v>
      </c>
      <c r="I569" s="2">
        <v>20.754190037115325</v>
      </c>
      <c r="J569" s="2">
        <v>3.3206008811508043E-2</v>
      </c>
      <c r="K569" s="2">
        <v>11.40654599925103</v>
      </c>
      <c r="L569" s="2">
        <v>0.14983722531772367</v>
      </c>
      <c r="M569" s="2">
        <v>8.2104889169610951E-2</v>
      </c>
      <c r="N569" s="2">
        <v>5.4212329249897807E-2</v>
      </c>
      <c r="O569" s="4">
        <v>3.653353098379823</v>
      </c>
      <c r="P569" s="3">
        <v>70.983112410630397</v>
      </c>
      <c r="Q569" s="3">
        <v>0.29187776916711178</v>
      </c>
    </row>
    <row r="570" spans="1:17" x14ac:dyDescent="0.3">
      <c r="A570" s="14" t="s">
        <v>114</v>
      </c>
      <c r="B570" s="11" t="s">
        <v>38</v>
      </c>
      <c r="C570" s="11" t="s">
        <v>39</v>
      </c>
      <c r="D570" s="24">
        <v>2</v>
      </c>
      <c r="E570" s="1" t="s">
        <v>163</v>
      </c>
      <c r="F570" s="2">
        <v>0.27374788234724662</v>
      </c>
      <c r="G570" s="2">
        <v>2.8101751687177452</v>
      </c>
      <c r="H570" s="2">
        <v>15.295648336128519</v>
      </c>
      <c r="I570" s="2">
        <v>20.567215352096269</v>
      </c>
      <c r="J570" s="2">
        <v>4.9809013217262069E-2</v>
      </c>
      <c r="K570" s="2">
        <v>11.885392228542894</v>
      </c>
      <c r="L570" s="2">
        <v>0.10788280222876104</v>
      </c>
      <c r="M570" s="2">
        <v>6.1578666877208213E-2</v>
      </c>
      <c r="N570" s="2">
        <v>3.8723092321355575E-2</v>
      </c>
      <c r="O570" s="4">
        <v>3.2646985134457993</v>
      </c>
      <c r="P570" s="3">
        <v>66.417986840871095</v>
      </c>
      <c r="Q570" s="3">
        <v>0.20847800465142391</v>
      </c>
    </row>
    <row r="571" spans="1:17" x14ac:dyDescent="0.3">
      <c r="A571" s="14" t="s">
        <v>126</v>
      </c>
      <c r="B571" s="11" t="s">
        <v>38</v>
      </c>
      <c r="C571" s="11" t="s">
        <v>39</v>
      </c>
      <c r="D571" s="24">
        <v>2</v>
      </c>
      <c r="E571" s="1" t="s">
        <v>163</v>
      </c>
      <c r="F571" s="2">
        <v>0.2366546733571048</v>
      </c>
      <c r="G571" s="2">
        <v>4.9268521734815396</v>
      </c>
      <c r="H571" s="2">
        <v>13.337381940153588</v>
      </c>
      <c r="I571" s="2">
        <v>20.660702694605799</v>
      </c>
      <c r="J571" s="2">
        <v>3.3206008811508043E-2</v>
      </c>
      <c r="K571" s="2">
        <v>10.698997093282451</v>
      </c>
      <c r="L571" s="2">
        <v>0.12586326926688787</v>
      </c>
      <c r="M571" s="2">
        <v>0.10947318555948128</v>
      </c>
      <c r="N571" s="2">
        <v>6.9701566178440033E-2</v>
      </c>
      <c r="O571" s="4">
        <v>4.6172164690162019</v>
      </c>
      <c r="P571" s="3">
        <v>71.029272509532163</v>
      </c>
      <c r="Q571" s="3">
        <v>0.42412658432094358</v>
      </c>
    </row>
    <row r="572" spans="1:17" x14ac:dyDescent="0.3">
      <c r="A572" s="14" t="s">
        <v>127</v>
      </c>
      <c r="B572" s="11" t="s">
        <v>16</v>
      </c>
      <c r="C572" s="11" t="s">
        <v>17</v>
      </c>
      <c r="D572" s="24">
        <v>2</v>
      </c>
      <c r="E572" s="1" t="s">
        <v>163</v>
      </c>
      <c r="F572" s="2">
        <v>0.22255925394085091</v>
      </c>
      <c r="G572" s="2">
        <v>4.9449434299325121</v>
      </c>
      <c r="H572" s="2">
        <v>13.654938653014387</v>
      </c>
      <c r="I572" s="2">
        <v>20.987908393389144</v>
      </c>
      <c r="J572" s="2">
        <v>1.6603004405754022E-2</v>
      </c>
      <c r="K572" s="2">
        <v>10.648968382759419</v>
      </c>
      <c r="L572" s="2">
        <v>0.16182420334314157</v>
      </c>
      <c r="M572" s="2">
        <v>8.8946963267078544E-2</v>
      </c>
      <c r="N572" s="2">
        <v>5.4212329249897807E-2</v>
      </c>
      <c r="O572" s="2">
        <v>4.2518811591782191</v>
      </c>
      <c r="P572" s="3">
        <v>72.768364105363389</v>
      </c>
      <c r="Q572" s="3">
        <v>0.33688373045120173</v>
      </c>
    </row>
    <row r="573" spans="1:17" x14ac:dyDescent="0.3">
      <c r="A573" s="13" t="s">
        <v>128</v>
      </c>
      <c r="B573" s="11" t="s">
        <v>16</v>
      </c>
      <c r="C573" s="11" t="s">
        <v>17</v>
      </c>
      <c r="D573" s="24">
        <v>2</v>
      </c>
      <c r="E573" s="1" t="s">
        <v>163</v>
      </c>
      <c r="F573" s="2">
        <v>0.26707110472902107</v>
      </c>
      <c r="G573" s="2">
        <v>4.1067152143707819</v>
      </c>
      <c r="H573" s="2">
        <v>15.242722217318386</v>
      </c>
      <c r="I573" s="2">
        <v>20.613959023351033</v>
      </c>
      <c r="J573" s="2">
        <v>2.4904506608631034E-2</v>
      </c>
      <c r="K573" s="2">
        <v>11.077785901528255</v>
      </c>
      <c r="L573" s="2">
        <v>0.1018893132160521</v>
      </c>
      <c r="M573" s="2">
        <v>5.4736592779740641E-2</v>
      </c>
      <c r="N573" s="2">
        <v>3.8723092321355575E-2</v>
      </c>
      <c r="O573" s="2">
        <v>2.7594475530315683</v>
      </c>
      <c r="P573" s="3">
        <v>77.372945723042164</v>
      </c>
      <c r="Q573" s="3">
        <v>0.18599912098217516</v>
      </c>
    </row>
    <row r="574" spans="1:17" x14ac:dyDescent="0.3">
      <c r="A574" s="13" t="s">
        <v>129</v>
      </c>
      <c r="B574" s="11" t="s">
        <v>16</v>
      </c>
      <c r="C574" s="11" t="s">
        <v>17</v>
      </c>
      <c r="D574" s="24">
        <v>2</v>
      </c>
      <c r="E574" s="1" t="s">
        <v>163</v>
      </c>
      <c r="F574" s="2">
        <v>0.25223382113296439</v>
      </c>
      <c r="G574" s="2">
        <v>2.7257493052798725</v>
      </c>
      <c r="H574" s="2">
        <v>15.824909524229851</v>
      </c>
      <c r="I574" s="2">
        <v>20.847677379624855</v>
      </c>
      <c r="J574" s="2">
        <v>1.6603004405754022E-2</v>
      </c>
      <c r="K574" s="2">
        <v>11.721012179681507</v>
      </c>
      <c r="L574" s="2">
        <v>9.5895824203343152E-2</v>
      </c>
      <c r="M574" s="2">
        <v>5.4736592779740641E-2</v>
      </c>
      <c r="N574" s="2">
        <v>6.9701566178440033E-2</v>
      </c>
      <c r="O574" s="2">
        <v>3.0315057624853847</v>
      </c>
      <c r="P574" s="3">
        <v>67.38349862201332</v>
      </c>
      <c r="Q574" s="3">
        <v>0.179168604064152</v>
      </c>
    </row>
    <row r="575" spans="1:17" x14ac:dyDescent="0.3">
      <c r="A575" s="13" t="s">
        <v>130</v>
      </c>
      <c r="B575" s="11" t="s">
        <v>16</v>
      </c>
      <c r="C575" s="11" t="s">
        <v>17</v>
      </c>
      <c r="D575" s="24">
        <v>2</v>
      </c>
      <c r="E575" s="1" t="s">
        <v>163</v>
      </c>
      <c r="F575" s="2">
        <v>0.24481517933493602</v>
      </c>
      <c r="G575" s="2">
        <v>2.4785021337832474</v>
      </c>
      <c r="H575" s="2">
        <v>15.189796098508252</v>
      </c>
      <c r="I575" s="2">
        <v>21.081395735898674</v>
      </c>
      <c r="J575" s="2">
        <v>2.4904506608631034E-2</v>
      </c>
      <c r="K575" s="2">
        <v>12.07836011198887</v>
      </c>
      <c r="L575" s="2">
        <v>0.14384373630501471</v>
      </c>
      <c r="M575" s="2">
        <v>6.1578666877208213E-2</v>
      </c>
      <c r="N575" s="2">
        <v>4.6467710785626684E-2</v>
      </c>
      <c r="O575" s="2">
        <v>3.3346563387339234</v>
      </c>
      <c r="P575" s="3">
        <v>63.069107592543936</v>
      </c>
      <c r="Q575" s="3">
        <v>0.20992776319804066</v>
      </c>
    </row>
    <row r="576" spans="1:17" x14ac:dyDescent="0.3">
      <c r="A576" s="14" t="s">
        <v>131</v>
      </c>
      <c r="B576" s="11" t="s">
        <v>16</v>
      </c>
      <c r="C576" s="11" t="s">
        <v>17</v>
      </c>
      <c r="D576" s="24">
        <v>2</v>
      </c>
      <c r="E576" s="1" t="s">
        <v>163</v>
      </c>
      <c r="F576" s="2">
        <v>0.25223382113296439</v>
      </c>
      <c r="G576" s="2">
        <v>4.1248064708217544</v>
      </c>
      <c r="H576" s="2">
        <v>13.866643128254919</v>
      </c>
      <c r="I576" s="2">
        <v>20.660702694605799</v>
      </c>
      <c r="J576" s="2">
        <v>2.4904506608631034E-2</v>
      </c>
      <c r="K576" s="2">
        <v>10.93484672860531</v>
      </c>
      <c r="L576" s="2">
        <v>0.16781769235585053</v>
      </c>
      <c r="M576" s="2">
        <v>9.5789037364546123E-2</v>
      </c>
      <c r="N576" s="2">
        <v>6.9701566178440033E-2</v>
      </c>
      <c r="O576" s="2">
        <v>4.8504092199766164</v>
      </c>
      <c r="P576" s="3">
        <v>66.147045122240385</v>
      </c>
      <c r="Q576" s="3">
        <v>0.3571861873594534</v>
      </c>
    </row>
    <row r="577" spans="1:17" x14ac:dyDescent="0.3">
      <c r="A577" s="13" t="s">
        <v>132</v>
      </c>
      <c r="B577" s="11" t="s">
        <v>16</v>
      </c>
      <c r="C577" s="11" t="s">
        <v>17</v>
      </c>
      <c r="D577" s="24">
        <v>2</v>
      </c>
      <c r="E577" s="1" t="s">
        <v>163</v>
      </c>
      <c r="F577" s="2">
        <v>0.25223382113296439</v>
      </c>
      <c r="G577" s="2">
        <v>2.761931818181818</v>
      </c>
      <c r="H577" s="2">
        <v>15.295648336128519</v>
      </c>
      <c r="I577" s="2">
        <v>20.894421050879618</v>
      </c>
      <c r="J577" s="2">
        <v>2.4904506608631034E-2</v>
      </c>
      <c r="K577" s="2">
        <v>11.721012179681507</v>
      </c>
      <c r="L577" s="2">
        <v>0.14983722531772367</v>
      </c>
      <c r="M577" s="2">
        <v>5.4736592779740641E-2</v>
      </c>
      <c r="N577" s="2">
        <v>5.4212329249897807E-2</v>
      </c>
      <c r="O577" s="2">
        <v>3.3968410723233675</v>
      </c>
      <c r="P577" s="3">
        <v>65.1350861287398</v>
      </c>
      <c r="Q577" s="3">
        <v>0.18535671835547848</v>
      </c>
    </row>
    <row r="578" spans="1:17" x14ac:dyDescent="0.3">
      <c r="A578" s="14" t="s">
        <v>133</v>
      </c>
      <c r="B578" s="15" t="s">
        <v>134</v>
      </c>
      <c r="C578" s="11" t="s">
        <v>135</v>
      </c>
      <c r="D578" s="24">
        <v>2</v>
      </c>
      <c r="E578" s="1" t="s">
        <v>163</v>
      </c>
      <c r="F578" s="2">
        <v>0.23739653753690765</v>
      </c>
      <c r="G578" s="2">
        <v>2.7076580488289004</v>
      </c>
      <c r="H578" s="2">
        <v>15.719057286609585</v>
      </c>
      <c r="I578" s="2">
        <v>20.847677379624855</v>
      </c>
      <c r="J578" s="2">
        <v>2.4904506608631034E-2</v>
      </c>
      <c r="K578" s="2">
        <v>12.07836011198887</v>
      </c>
      <c r="L578" s="2">
        <v>0.12586326926688787</v>
      </c>
      <c r="M578" s="2">
        <v>4.7894518682273061E-2</v>
      </c>
      <c r="N578" s="2">
        <v>4.6467710785626684E-2</v>
      </c>
      <c r="O578" s="2">
        <v>3.3268832470352434</v>
      </c>
      <c r="P578" s="3">
        <v>65.156967951163026</v>
      </c>
      <c r="Q578" s="3">
        <v>0.15786192413506633</v>
      </c>
    </row>
    <row r="579" spans="1:17" x14ac:dyDescent="0.3">
      <c r="A579" s="14" t="s">
        <v>120</v>
      </c>
      <c r="B579" s="11" t="s">
        <v>96</v>
      </c>
      <c r="C579" s="11" t="s">
        <v>97</v>
      </c>
      <c r="D579" s="24">
        <v>2</v>
      </c>
      <c r="E579" s="1" t="s">
        <v>163</v>
      </c>
      <c r="F579" s="2">
        <v>0.24704077187434453</v>
      </c>
      <c r="G579" s="2">
        <v>4.0403806073838826</v>
      </c>
      <c r="H579" s="2">
        <v>14.025421484685319</v>
      </c>
      <c r="I579" s="2">
        <v>20.941164722134381</v>
      </c>
      <c r="J579" s="2">
        <v>1.7433154626041725E-2</v>
      </c>
      <c r="K579" s="2">
        <v>11.006316315066783</v>
      </c>
      <c r="L579" s="2">
        <v>0.17141378576347588</v>
      </c>
      <c r="M579" s="2">
        <v>0.107420563330241</v>
      </c>
      <c r="N579" s="2">
        <v>6.9701566178440033E-2</v>
      </c>
      <c r="O579" s="2">
        <v>4.8659554033739765</v>
      </c>
      <c r="P579" s="3">
        <v>65.610257773569217</v>
      </c>
      <c r="Q579" s="3">
        <v>0.3958704198704488</v>
      </c>
    </row>
    <row r="580" spans="1:17" x14ac:dyDescent="0.3">
      <c r="A580" s="14" t="s">
        <v>136</v>
      </c>
      <c r="B580" s="11" t="s">
        <v>47</v>
      </c>
      <c r="C580" s="11" t="s">
        <v>48</v>
      </c>
      <c r="D580" s="24">
        <v>2</v>
      </c>
      <c r="E580" s="1" t="s">
        <v>163</v>
      </c>
      <c r="F580" s="2">
        <v>0.25223382113296439</v>
      </c>
      <c r="G580" s="2">
        <v>2.4785021337832474</v>
      </c>
      <c r="H580" s="2">
        <v>14.872239385647454</v>
      </c>
      <c r="I580" s="2">
        <v>20.987908393389144</v>
      </c>
      <c r="J580" s="2">
        <v>2.4074356388343335E-2</v>
      </c>
      <c r="K580" s="2">
        <v>11.935420939065926</v>
      </c>
      <c r="L580" s="2">
        <v>0.14384373630501471</v>
      </c>
      <c r="M580" s="2">
        <v>6.3E-2</v>
      </c>
      <c r="N580" s="2">
        <v>0.05</v>
      </c>
      <c r="O580" s="2">
        <v>3.3502025221312843</v>
      </c>
      <c r="P580" s="3">
        <v>62.960706888953581</v>
      </c>
      <c r="Q580" s="3">
        <v>0.21933844693998078</v>
      </c>
    </row>
    <row r="581" spans="1:17" x14ac:dyDescent="0.3">
      <c r="A581" s="14" t="s">
        <v>137</v>
      </c>
      <c r="B581" s="11" t="s">
        <v>47</v>
      </c>
      <c r="C581" s="11" t="s">
        <v>48</v>
      </c>
      <c r="D581" s="24">
        <v>2</v>
      </c>
      <c r="E581" s="1" t="s">
        <v>163</v>
      </c>
      <c r="F581" s="2">
        <v>0.22255925394085091</v>
      </c>
      <c r="G581" s="2">
        <v>4.9449434299325121</v>
      </c>
      <c r="H581" s="2">
        <v>13.602012534204253</v>
      </c>
      <c r="I581" s="2">
        <v>21.408601434682023</v>
      </c>
      <c r="J581" s="2">
        <v>1.9093455066617127E-2</v>
      </c>
      <c r="K581" s="2">
        <v>10.720437969220892</v>
      </c>
      <c r="L581" s="2">
        <v>0.16182420334314157</v>
      </c>
      <c r="M581" s="2">
        <v>8.8999999999999996E-2</v>
      </c>
      <c r="N581" s="2">
        <v>5.7999999999999996E-2</v>
      </c>
      <c r="O581" s="2">
        <v>4.2829735259729409</v>
      </c>
      <c r="P581" s="3">
        <v>72.623745210527716</v>
      </c>
      <c r="Q581" s="3">
        <v>0.33839110047726551</v>
      </c>
    </row>
    <row r="582" spans="1:17" x14ac:dyDescent="0.3">
      <c r="A582" s="14" t="s">
        <v>138</v>
      </c>
      <c r="B582" s="11" t="s">
        <v>47</v>
      </c>
      <c r="C582" s="11" t="s">
        <v>48</v>
      </c>
      <c r="D582" s="24">
        <v>2</v>
      </c>
      <c r="E582" s="1" t="s">
        <v>163</v>
      </c>
      <c r="F582" s="2">
        <v>0.24481517933493602</v>
      </c>
      <c r="G582" s="2">
        <v>3.6845858971814214</v>
      </c>
      <c r="H582" s="2">
        <v>13.813717009444787</v>
      </c>
      <c r="I582" s="2">
        <v>20.286753324567684</v>
      </c>
      <c r="J582" s="2">
        <v>2.2414055947767929E-2</v>
      </c>
      <c r="K582" s="2">
        <v>11.006316315066783</v>
      </c>
      <c r="L582" s="2">
        <v>0.2037786264321042</v>
      </c>
      <c r="M582" s="2">
        <v>0.09</v>
      </c>
      <c r="N582" s="2">
        <v>6.5999999999999989E-2</v>
      </c>
      <c r="O582" s="2">
        <v>4.9670055954568229</v>
      </c>
      <c r="P582" s="3">
        <v>63.023821358333429</v>
      </c>
      <c r="Q582" s="3">
        <v>0.33695376623932843</v>
      </c>
    </row>
    <row r="583" spans="1:17" x14ac:dyDescent="0.3">
      <c r="A583" s="16" t="s">
        <v>139</v>
      </c>
      <c r="B583" s="11" t="s">
        <v>100</v>
      </c>
      <c r="C583" s="11" t="s">
        <v>101</v>
      </c>
      <c r="D583" s="24">
        <v>2</v>
      </c>
      <c r="E583" s="1" t="s">
        <v>163</v>
      </c>
      <c r="F583" s="2">
        <v>0.2596524629309927</v>
      </c>
      <c r="G583" s="2">
        <v>4.2815973600635164</v>
      </c>
      <c r="H583" s="2">
        <v>14.237125959925852</v>
      </c>
      <c r="I583" s="2">
        <v>20.660702694605799</v>
      </c>
      <c r="J583" s="2">
        <v>3.2375858591220344E-2</v>
      </c>
      <c r="K583" s="2">
        <v>11.578073006758563</v>
      </c>
      <c r="L583" s="2">
        <v>0.17381118136855944</v>
      </c>
      <c r="M583" s="2">
        <v>7.5262815072143371E-2</v>
      </c>
      <c r="N583" s="2">
        <v>3.8723092321355575E-2</v>
      </c>
      <c r="O583" s="2">
        <v>3.8088149323534326</v>
      </c>
      <c r="P583" s="3">
        <v>72.089510473697743</v>
      </c>
      <c r="Q583" s="3">
        <v>0.27357259812348006</v>
      </c>
    </row>
    <row r="584" spans="1:17" x14ac:dyDescent="0.3">
      <c r="A584" s="16" t="s">
        <v>140</v>
      </c>
      <c r="B584" s="11" t="s">
        <v>100</v>
      </c>
      <c r="C584" s="11" t="s">
        <v>101</v>
      </c>
      <c r="D584" s="24">
        <v>2</v>
      </c>
      <c r="E584" s="1" t="s">
        <v>163</v>
      </c>
      <c r="F584" s="2">
        <v>0.22255925394085091</v>
      </c>
      <c r="G584" s="2">
        <v>3.4735212385867404</v>
      </c>
      <c r="H584" s="2">
        <v>14.448830435166386</v>
      </c>
      <c r="I584" s="2">
        <v>20.987908393389144</v>
      </c>
      <c r="J584" s="2">
        <v>2.3244206168055632E-2</v>
      </c>
      <c r="K584" s="2">
        <v>11.335076412789556</v>
      </c>
      <c r="L584" s="2">
        <v>0.23973956050835787</v>
      </c>
      <c r="M584" s="2">
        <v>7.5262815072143371E-2</v>
      </c>
      <c r="N584" s="2">
        <v>9.2935421571253368E-2</v>
      </c>
      <c r="O584" s="2">
        <v>4.4384353599465509</v>
      </c>
      <c r="P584" s="3">
        <v>64.262250439967062</v>
      </c>
      <c r="Q584" s="3">
        <v>0.26957501402452438</v>
      </c>
    </row>
    <row r="585" spans="1:17" x14ac:dyDescent="0.3">
      <c r="A585" s="14" t="s">
        <v>139</v>
      </c>
      <c r="B585" s="11" t="s">
        <v>86</v>
      </c>
      <c r="C585" s="11" t="s">
        <v>87</v>
      </c>
      <c r="D585" s="24">
        <v>2</v>
      </c>
      <c r="E585" s="1" t="s">
        <v>163</v>
      </c>
      <c r="F585" s="2">
        <v>0.20920569870439984</v>
      </c>
      <c r="G585" s="2">
        <v>3.9378634874950378</v>
      </c>
      <c r="H585" s="2">
        <v>14.104810662900519</v>
      </c>
      <c r="I585" s="2">
        <v>20.501774212339598</v>
      </c>
      <c r="J585" s="2">
        <v>5.3959764318700573E-2</v>
      </c>
      <c r="K585" s="2">
        <v>11.513750378943238</v>
      </c>
      <c r="L585" s="2">
        <v>0.18100336818381019</v>
      </c>
      <c r="M585" s="2">
        <v>6.9789155794169305E-2</v>
      </c>
      <c r="N585" s="2">
        <v>5.8859100328460472E-2</v>
      </c>
      <c r="O585" s="2">
        <v>3.8709996659428767</v>
      </c>
      <c r="P585" s="3">
        <v>70.036224543081872</v>
      </c>
      <c r="Q585" s="3">
        <v>0.25610097270903381</v>
      </c>
    </row>
    <row r="586" spans="1:17" x14ac:dyDescent="0.3">
      <c r="A586" s="14" t="s">
        <v>141</v>
      </c>
      <c r="B586" s="15" t="s">
        <v>142</v>
      </c>
      <c r="C586" s="11" t="s">
        <v>143</v>
      </c>
      <c r="D586" s="24">
        <v>2</v>
      </c>
      <c r="E586" s="1" t="s">
        <v>163</v>
      </c>
      <c r="F586" s="2">
        <v>0.24481517933493602</v>
      </c>
      <c r="G586" s="2">
        <v>2.4121675267963476</v>
      </c>
      <c r="H586" s="2">
        <v>15.295648336128519</v>
      </c>
      <c r="I586" s="2">
        <v>20.987908393389144</v>
      </c>
      <c r="J586" s="2">
        <v>4.7399999999999998E-2</v>
      </c>
      <c r="K586" s="2">
        <v>12.07836011198887</v>
      </c>
      <c r="L586" s="2">
        <v>0.13785024729230577</v>
      </c>
      <c r="M586" s="2">
        <v>6.1578666877208213E-2</v>
      </c>
      <c r="N586" s="2">
        <v>5.0340020017762249E-2</v>
      </c>
      <c r="O586" s="2">
        <v>3.3424294304326039</v>
      </c>
      <c r="P586" s="3">
        <v>62.380395030684866</v>
      </c>
      <c r="Q586" s="3">
        <v>0.20847800465142391</v>
      </c>
    </row>
    <row r="587" spans="1:17" x14ac:dyDescent="0.3">
      <c r="A587" s="14" t="s">
        <v>108</v>
      </c>
      <c r="B587" s="15" t="s">
        <v>32</v>
      </c>
      <c r="C587" s="11" t="s">
        <v>33</v>
      </c>
      <c r="D587" s="24">
        <v>2</v>
      </c>
      <c r="E587" s="1" t="s">
        <v>163</v>
      </c>
      <c r="F587" s="2">
        <v>0.24481517933493602</v>
      </c>
      <c r="G587" s="2">
        <v>3.7509205041683202</v>
      </c>
      <c r="H587" s="2">
        <v>13.766083502515668</v>
      </c>
      <c r="I587" s="2">
        <v>20.165219779305296</v>
      </c>
      <c r="J587" s="2">
        <v>1.6603004405754022E-2</v>
      </c>
      <c r="K587" s="2">
        <v>10.956287604543752</v>
      </c>
      <c r="L587" s="2">
        <v>0.20977211544481314</v>
      </c>
      <c r="M587" s="2">
        <v>8.8946963267078544E-2</v>
      </c>
      <c r="N587" s="2">
        <v>6.1956947714168917E-2</v>
      </c>
      <c r="O587" s="2">
        <v>5.4567103724736929</v>
      </c>
      <c r="P587" s="3">
        <v>61.231485022768304</v>
      </c>
      <c r="Q587" s="3">
        <v>0.33417288189910999</v>
      </c>
    </row>
    <row r="588" spans="1:17" x14ac:dyDescent="0.3">
      <c r="A588" s="14" t="s">
        <v>144</v>
      </c>
      <c r="B588" s="15" t="s">
        <v>145</v>
      </c>
      <c r="C588" s="11" t="s">
        <v>146</v>
      </c>
      <c r="D588" s="24">
        <v>2</v>
      </c>
      <c r="E588" s="1" t="s">
        <v>163</v>
      </c>
      <c r="F588" s="2">
        <v>0.24</v>
      </c>
      <c r="G588" s="2">
        <v>3.1</v>
      </c>
      <c r="H588" s="2">
        <v>15.3</v>
      </c>
      <c r="I588" s="2">
        <v>21</v>
      </c>
      <c r="J588" s="2">
        <v>6.2E-2</v>
      </c>
      <c r="K588" s="2">
        <v>12.4</v>
      </c>
      <c r="L588" s="2">
        <v>0.11</v>
      </c>
      <c r="M588" s="2">
        <v>5.5E-2</v>
      </c>
      <c r="N588" s="2">
        <v>0.04</v>
      </c>
      <c r="O588" s="2">
        <v>2.94</v>
      </c>
      <c r="P588" s="3">
        <v>70.783461350695603</v>
      </c>
      <c r="Q588" s="3">
        <v>0.18619416927352425</v>
      </c>
    </row>
    <row r="589" spans="1:17" x14ac:dyDescent="0.3">
      <c r="A589" s="14" t="s">
        <v>155</v>
      </c>
      <c r="B589" s="15" t="s">
        <v>151</v>
      </c>
      <c r="C589" s="15" t="s">
        <v>152</v>
      </c>
      <c r="D589" s="24">
        <v>2</v>
      </c>
      <c r="E589" s="1" t="s">
        <v>163</v>
      </c>
      <c r="F589" s="2">
        <v>0.24481517933493602</v>
      </c>
      <c r="G589" s="2">
        <v>3.7509205041683202</v>
      </c>
      <c r="H589" s="2">
        <v>13.766083502515668</v>
      </c>
      <c r="I589" s="2">
        <v>20.165219779305296</v>
      </c>
      <c r="J589" s="2">
        <v>1.6603004405754022E-2</v>
      </c>
      <c r="K589" s="2">
        <v>10.956287604543752</v>
      </c>
      <c r="L589" s="2">
        <v>0.20977211544481314</v>
      </c>
      <c r="M589" s="2">
        <v>8.8946963267078544E-2</v>
      </c>
      <c r="N589" s="2">
        <v>6.1956947714168917E-2</v>
      </c>
      <c r="O589" s="2">
        <v>5.4878027392684148</v>
      </c>
      <c r="P589" s="3">
        <v>61.096520841383928</v>
      </c>
      <c r="Q589" s="3">
        <v>0.33417288189910999</v>
      </c>
    </row>
    <row r="590" spans="1:17" x14ac:dyDescent="0.3">
      <c r="A590" s="14" t="s">
        <v>147</v>
      </c>
      <c r="B590" s="15" t="s">
        <v>151</v>
      </c>
      <c r="C590" s="15" t="s">
        <v>152</v>
      </c>
      <c r="D590" s="24">
        <v>2</v>
      </c>
      <c r="E590" s="1" t="s">
        <v>163</v>
      </c>
      <c r="F590" s="2">
        <v>0.33383888091127639</v>
      </c>
      <c r="G590" s="2">
        <v>3.4011562127828499</v>
      </c>
      <c r="H590" s="2">
        <v>14.702875805455026</v>
      </c>
      <c r="I590" s="2">
        <v>20.123150475176008</v>
      </c>
      <c r="J590" s="2">
        <v>1.6603004405754022E-2</v>
      </c>
      <c r="K590" s="2">
        <v>11.635248675927741</v>
      </c>
      <c r="L590" s="2">
        <v>0.13185675827959684</v>
      </c>
      <c r="M590" s="2">
        <v>6.8420740974675806E-2</v>
      </c>
      <c r="N590" s="2">
        <v>6.1956947714168917E-2</v>
      </c>
      <c r="O590" s="2">
        <v>4.0109153165191245</v>
      </c>
      <c r="P590" s="3">
        <v>66.082970953512316</v>
      </c>
      <c r="Q590" s="3">
        <v>0.24090299347433369</v>
      </c>
    </row>
    <row r="591" spans="1:17" x14ac:dyDescent="0.3">
      <c r="A591" s="5" t="s">
        <v>53</v>
      </c>
      <c r="B591" s="15" t="s">
        <v>149</v>
      </c>
      <c r="C591" s="11" t="s">
        <v>150</v>
      </c>
      <c r="D591" s="24">
        <v>2</v>
      </c>
      <c r="E591" s="1" t="s">
        <v>163</v>
      </c>
      <c r="F591" s="2">
        <v>0.32642023911324802</v>
      </c>
      <c r="G591" s="2">
        <v>3.1720002977371968</v>
      </c>
      <c r="H591" s="2">
        <v>15.004554682672786</v>
      </c>
      <c r="I591" s="2">
        <v>20.726143834362468</v>
      </c>
      <c r="J591" s="2">
        <v>4.150751101438506E-2</v>
      </c>
      <c r="K591" s="2">
        <v>11.263606826328083</v>
      </c>
      <c r="L591" s="2">
        <v>0.14384373630501471</v>
      </c>
      <c r="M591" s="2">
        <v>4.1052444584805475E-2</v>
      </c>
      <c r="N591" s="2">
        <v>3.0978473857084458E-2</v>
      </c>
      <c r="O591" s="2">
        <v>4.1430578753966927</v>
      </c>
      <c r="P591" s="3">
        <v>63.756848599074878</v>
      </c>
      <c r="Q591" s="3">
        <v>0.14177640238217892</v>
      </c>
    </row>
    <row r="592" spans="1:17" x14ac:dyDescent="0.3">
      <c r="A592" s="14" t="s">
        <v>50</v>
      </c>
      <c r="B592" s="15" t="s">
        <v>151</v>
      </c>
      <c r="C592" s="15" t="s">
        <v>152</v>
      </c>
      <c r="D592" s="24">
        <v>2</v>
      </c>
      <c r="E592" s="1" t="s">
        <v>163</v>
      </c>
      <c r="F592" s="2">
        <v>0.32642023911324802</v>
      </c>
      <c r="G592" s="2">
        <v>3.0333006649464074</v>
      </c>
      <c r="H592" s="2">
        <v>15.390915349986757</v>
      </c>
      <c r="I592" s="2">
        <v>20.398938135579119</v>
      </c>
      <c r="J592" s="2">
        <v>8.3015022028770109E-3</v>
      </c>
      <c r="K592" s="2">
        <v>11.885392228542894</v>
      </c>
      <c r="L592" s="2">
        <v>1.7980467038126838E-2</v>
      </c>
      <c r="M592" s="2">
        <v>6.1578666877208213E-2</v>
      </c>
      <c r="N592" s="2">
        <v>2.3233855392813342E-2</v>
      </c>
      <c r="O592" s="2">
        <v>3.9292978536829803</v>
      </c>
      <c r="P592" s="3">
        <v>63.947552772013132</v>
      </c>
      <c r="Q592" s="3">
        <v>0.20719023675099743</v>
      </c>
    </row>
    <row r="593" spans="1:17" x14ac:dyDescent="0.3">
      <c r="A593" s="14" t="s">
        <v>157</v>
      </c>
      <c r="B593" s="15" t="s">
        <v>151</v>
      </c>
      <c r="C593" s="15" t="s">
        <v>152</v>
      </c>
      <c r="D593" s="24">
        <v>2</v>
      </c>
      <c r="E593" s="1" t="s">
        <v>163</v>
      </c>
      <c r="F593" s="2">
        <v>0.25223382113296439</v>
      </c>
      <c r="G593" s="2">
        <v>5.6806545256053989</v>
      </c>
      <c r="H593" s="2">
        <v>9.7595763085885778</v>
      </c>
      <c r="I593" s="2">
        <v>20.978559659138195</v>
      </c>
      <c r="J593" s="2">
        <v>3.3206008811508043E-2</v>
      </c>
      <c r="K593" s="2">
        <v>9.1838418602992302</v>
      </c>
      <c r="L593" s="2">
        <v>0.42553771990233519</v>
      </c>
      <c r="M593" s="2">
        <v>0.17789392653415709</v>
      </c>
      <c r="N593" s="2">
        <v>0.1548923692854223</v>
      </c>
      <c r="O593" s="2">
        <v>9.6619529814598302</v>
      </c>
      <c r="P593" s="3">
        <v>57.463038820149485</v>
      </c>
      <c r="Q593" s="3">
        <v>0.93701334738910269</v>
      </c>
    </row>
    <row r="594" spans="1:17" x14ac:dyDescent="0.3">
      <c r="A594" s="14" t="s">
        <v>153</v>
      </c>
      <c r="B594" s="15" t="s">
        <v>151</v>
      </c>
      <c r="C594" s="15" t="s">
        <v>152</v>
      </c>
      <c r="D594" s="24">
        <v>2</v>
      </c>
      <c r="E594" s="1" t="s">
        <v>163</v>
      </c>
      <c r="F594" s="2">
        <v>0.25223382113296439</v>
      </c>
      <c r="G594" s="2">
        <v>4.8122742159587135</v>
      </c>
      <c r="H594" s="2">
        <v>11.543186512490069</v>
      </c>
      <c r="I594" s="2">
        <v>21.310439725047022</v>
      </c>
      <c r="J594" s="2">
        <v>9.1316524231647128E-2</v>
      </c>
      <c r="K594" s="2">
        <v>10.020036021898459</v>
      </c>
      <c r="L594" s="2">
        <v>0.31765491767357418</v>
      </c>
      <c r="M594" s="2">
        <v>0.11631525965694886</v>
      </c>
      <c r="N594" s="2">
        <v>0.11616927696406672</v>
      </c>
      <c r="O594" s="2">
        <v>7.3144792884583261</v>
      </c>
      <c r="P594" s="3">
        <v>60.185776719743529</v>
      </c>
      <c r="Q594" s="3">
        <v>0.52017585932204957</v>
      </c>
    </row>
    <row r="595" spans="1:17" x14ac:dyDescent="0.3">
      <c r="A595" s="13">
        <v>15362</v>
      </c>
      <c r="B595" s="15" t="s">
        <v>160</v>
      </c>
      <c r="C595" s="15" t="s">
        <v>158</v>
      </c>
      <c r="D595" s="24">
        <v>2</v>
      </c>
      <c r="E595" s="1" t="s">
        <v>163</v>
      </c>
      <c r="F595">
        <v>0.2596524629309927</v>
      </c>
      <c r="G595">
        <v>0.18694298332671694</v>
      </c>
      <c r="H595">
        <v>18.577067702356782</v>
      </c>
      <c r="I595">
        <v>20.567215352096269</v>
      </c>
      <c r="J595">
        <v>3.3206008811508043E-2</v>
      </c>
      <c r="K595">
        <v>14.150978119371578</v>
      </c>
      <c r="L595">
        <v>1.7980467038126838E-2</v>
      </c>
      <c r="M595">
        <v>4.7894518682276177E-2</v>
      </c>
      <c r="N595">
        <v>7.7446184642711146E-3</v>
      </c>
      <c r="O595">
        <v>0.22541965926173374</v>
      </c>
      <c r="P595" s="3">
        <v>65.582365031596183</v>
      </c>
      <c r="Q595" s="3">
        <v>0.1336079228893525</v>
      </c>
    </row>
    <row r="596" spans="1:17" x14ac:dyDescent="0.3">
      <c r="A596" s="13">
        <v>60665</v>
      </c>
      <c r="B596" s="15" t="s">
        <v>161</v>
      </c>
      <c r="C596" s="15" t="s">
        <v>159</v>
      </c>
      <c r="D596" s="24">
        <v>2</v>
      </c>
      <c r="E596" s="1" t="s">
        <v>163</v>
      </c>
      <c r="F596">
        <v>0.34125752270930476</v>
      </c>
      <c r="G596">
        <v>0.1567908892417626</v>
      </c>
      <c r="H596">
        <v>18.577067702356782</v>
      </c>
      <c r="I596">
        <v>20.847677379624855</v>
      </c>
      <c r="J596">
        <v>2.4904506608631034E-2</v>
      </c>
      <c r="K596">
        <v>13.65069101414127</v>
      </c>
      <c r="L596">
        <v>5.993489012708947E-3</v>
      </c>
      <c r="M596">
        <v>2.0526222292391438E-2</v>
      </c>
      <c r="N596">
        <v>7.7446184642711146E-3</v>
      </c>
      <c r="O596">
        <v>0.31092366794721898</v>
      </c>
      <c r="P596" s="3">
        <v>53.674947645242781</v>
      </c>
      <c r="Q596" s="3">
        <v>5.7304288706754469E-2</v>
      </c>
    </row>
    <row r="597" spans="1:17" x14ac:dyDescent="0.3">
      <c r="A597" s="13">
        <v>60025</v>
      </c>
      <c r="B597" s="15" t="s">
        <v>161</v>
      </c>
      <c r="C597" s="15" t="s">
        <v>159</v>
      </c>
      <c r="D597" s="24">
        <v>2</v>
      </c>
      <c r="E597" s="1" t="s">
        <v>163</v>
      </c>
      <c r="F597">
        <v>0.36351344810338981</v>
      </c>
      <c r="G597">
        <v>0.16282130805875347</v>
      </c>
      <c r="H597">
        <v>18.635286433047931</v>
      </c>
      <c r="I597">
        <v>20.113801740925055</v>
      </c>
      <c r="J597">
        <v>2.4904506608631034E-2</v>
      </c>
      <c r="K597">
        <v>13.52204575851062</v>
      </c>
      <c r="L597">
        <v>1.1986978025417894E-2</v>
      </c>
      <c r="M597">
        <v>0.90999585496318902</v>
      </c>
      <c r="N597">
        <v>2.3233855392813342E-2</v>
      </c>
      <c r="O597">
        <v>0.52079714381159181</v>
      </c>
      <c r="P597" s="3">
        <v>41.804370370306508</v>
      </c>
      <c r="Q597" s="3">
        <v>2.4713805322021996</v>
      </c>
    </row>
    <row r="598" spans="1:17" x14ac:dyDescent="0.3">
      <c r="A598" s="13">
        <v>60619</v>
      </c>
      <c r="B598" s="15" t="s">
        <v>160</v>
      </c>
      <c r="C598" s="15" t="s">
        <v>158</v>
      </c>
      <c r="D598" s="24">
        <v>2</v>
      </c>
      <c r="E598" s="1" t="s">
        <v>163</v>
      </c>
      <c r="F598">
        <v>0.46737443327578693</v>
      </c>
      <c r="G598">
        <v>1.0131103612544659</v>
      </c>
      <c r="H598">
        <v>17.41269308853385</v>
      </c>
      <c r="I598">
        <v>20.847677379624855</v>
      </c>
      <c r="J598">
        <v>3.3206008811508043E-2</v>
      </c>
      <c r="K598">
        <v>12.721586390142125</v>
      </c>
      <c r="L598">
        <v>3.5960934076253677E-2</v>
      </c>
      <c r="M598">
        <v>0.73894400252649339</v>
      </c>
      <c r="N598">
        <v>7.7446184642711146E-3</v>
      </c>
      <c r="O598">
        <v>0.9327710038416569</v>
      </c>
      <c r="P598" s="3">
        <v>71.392392125242026</v>
      </c>
      <c r="Q598" s="3">
        <v>2.1547142900095824</v>
      </c>
    </row>
    <row r="599" spans="1:17" x14ac:dyDescent="0.3">
      <c r="A599" t="s">
        <v>164</v>
      </c>
      <c r="B599" s="19" t="s">
        <v>165</v>
      </c>
      <c r="C599" s="21" t="s">
        <v>166</v>
      </c>
      <c r="D599" s="24">
        <v>3</v>
      </c>
      <c r="E599" t="s">
        <v>167</v>
      </c>
      <c r="F599">
        <v>0.02</v>
      </c>
      <c r="G599">
        <v>16.399999999999999</v>
      </c>
      <c r="H599">
        <v>0.52</v>
      </c>
      <c r="I599">
        <v>24.77</v>
      </c>
      <c r="J599">
        <v>0.02</v>
      </c>
      <c r="K599">
        <v>0.86499999999999999</v>
      </c>
      <c r="L599">
        <v>0.02</v>
      </c>
      <c r="M599">
        <v>0.42</v>
      </c>
      <c r="N599">
        <v>0.25</v>
      </c>
      <c r="O599">
        <v>12.88</v>
      </c>
      <c r="P599" s="3">
        <v>74.526261723431489</v>
      </c>
      <c r="Q599" s="3">
        <v>29.534359333610627</v>
      </c>
    </row>
    <row r="600" spans="1:17" x14ac:dyDescent="0.3">
      <c r="A600" t="s">
        <v>168</v>
      </c>
      <c r="B600" s="19" t="s">
        <v>169</v>
      </c>
      <c r="C600" s="21" t="s">
        <v>166</v>
      </c>
      <c r="D600" s="24">
        <v>3</v>
      </c>
      <c r="E600" t="s">
        <v>167</v>
      </c>
      <c r="F600">
        <v>0.04</v>
      </c>
      <c r="G600">
        <v>16.68</v>
      </c>
      <c r="H600">
        <v>0.84199999999999997</v>
      </c>
      <c r="I600">
        <v>22.92</v>
      </c>
      <c r="J600">
        <v>0.02</v>
      </c>
      <c r="K600">
        <v>0.92200000000000004</v>
      </c>
      <c r="L600">
        <v>0.16</v>
      </c>
      <c r="M600">
        <v>0.52</v>
      </c>
      <c r="N600">
        <v>0.35</v>
      </c>
      <c r="O600">
        <v>13.78</v>
      </c>
      <c r="P600" s="3">
        <v>73.553516119289256</v>
      </c>
      <c r="Q600" s="3">
        <v>24.269730650451692</v>
      </c>
    </row>
    <row r="601" spans="1:17" x14ac:dyDescent="0.3">
      <c r="A601" t="s">
        <v>168</v>
      </c>
      <c r="B601" s="19" t="s">
        <v>170</v>
      </c>
      <c r="C601" s="21" t="s">
        <v>171</v>
      </c>
      <c r="D601" s="24">
        <v>3</v>
      </c>
      <c r="E601" t="s">
        <v>167</v>
      </c>
      <c r="F601">
        <v>0.03</v>
      </c>
      <c r="G601">
        <v>15.97</v>
      </c>
      <c r="H601">
        <v>0.82599999999999996</v>
      </c>
      <c r="I601">
        <v>24.38</v>
      </c>
      <c r="J601">
        <v>8.0000000000000002E-3</v>
      </c>
      <c r="K601">
        <v>1.07</v>
      </c>
      <c r="L601">
        <v>9.6000000000000002E-2</v>
      </c>
      <c r="M601">
        <v>0.72499999999999998</v>
      </c>
      <c r="N601">
        <v>0.36</v>
      </c>
      <c r="O601">
        <v>12.59</v>
      </c>
      <c r="P601" s="3">
        <v>74.454119507655662</v>
      </c>
      <c r="Q601" s="3">
        <v>31.293789541064733</v>
      </c>
    </row>
    <row r="602" spans="1:17" x14ac:dyDescent="0.3">
      <c r="A602" t="s">
        <v>172</v>
      </c>
      <c r="B602" s="19" t="s">
        <v>173</v>
      </c>
      <c r="C602" s="21" t="s">
        <v>171</v>
      </c>
      <c r="D602" s="24">
        <v>3</v>
      </c>
      <c r="E602" t="s">
        <v>167</v>
      </c>
      <c r="F602">
        <v>2.5999999999999999E-2</v>
      </c>
      <c r="G602">
        <v>15.57</v>
      </c>
      <c r="H602">
        <v>0.54</v>
      </c>
      <c r="I602">
        <v>24.24</v>
      </c>
      <c r="J602">
        <v>2.2000000000000001E-3</v>
      </c>
      <c r="K602">
        <v>0.79</v>
      </c>
      <c r="L602">
        <v>1.9E-2</v>
      </c>
      <c r="M602">
        <v>1.1619999999999999</v>
      </c>
      <c r="N602">
        <v>0.42099999999999999</v>
      </c>
      <c r="O602">
        <v>13.34</v>
      </c>
      <c r="P602" s="3">
        <v>72.839147303462198</v>
      </c>
      <c r="Q602" s="3">
        <v>52.755504861408511</v>
      </c>
    </row>
    <row r="603" spans="1:17" x14ac:dyDescent="0.3">
      <c r="A603" t="s">
        <v>172</v>
      </c>
      <c r="B603" s="19" t="s">
        <v>174</v>
      </c>
      <c r="C603" s="21" t="s">
        <v>171</v>
      </c>
      <c r="D603" s="24">
        <v>3</v>
      </c>
      <c r="E603" t="s">
        <v>167</v>
      </c>
      <c r="F603">
        <v>0.08</v>
      </c>
      <c r="G603">
        <v>16.29</v>
      </c>
      <c r="H603">
        <v>0.49</v>
      </c>
      <c r="I603">
        <v>24.08</v>
      </c>
      <c r="J603">
        <v>2.7000000000000001E-3</v>
      </c>
      <c r="K603">
        <v>0.56999999999999995</v>
      </c>
      <c r="L603">
        <v>3.4000000000000002E-2</v>
      </c>
      <c r="M603">
        <v>1.29</v>
      </c>
      <c r="N603">
        <v>0.439</v>
      </c>
      <c r="O603">
        <v>13.48</v>
      </c>
      <c r="P603" s="3">
        <v>73.521449873638872</v>
      </c>
      <c r="Q603" s="3">
        <v>57.737221409966885</v>
      </c>
    </row>
    <row r="604" spans="1:17" x14ac:dyDescent="0.3">
      <c r="A604" t="s">
        <v>175</v>
      </c>
      <c r="B604" s="19" t="s">
        <v>165</v>
      </c>
      <c r="C604" s="21" t="s">
        <v>171</v>
      </c>
      <c r="D604" s="24">
        <v>3</v>
      </c>
      <c r="E604" t="s">
        <v>167</v>
      </c>
      <c r="F604">
        <v>0.04</v>
      </c>
      <c r="G604">
        <v>16.53</v>
      </c>
      <c r="H604">
        <v>1</v>
      </c>
      <c r="I604">
        <v>24.28</v>
      </c>
      <c r="J604">
        <v>0.02</v>
      </c>
      <c r="K604">
        <v>1.07</v>
      </c>
      <c r="L604">
        <v>7.0000000000000007E-2</v>
      </c>
      <c r="M604">
        <v>0.27</v>
      </c>
      <c r="N604">
        <v>0.3</v>
      </c>
      <c r="O604">
        <v>12.73</v>
      </c>
      <c r="P604" s="3">
        <v>74.896754252769014</v>
      </c>
      <c r="Q604" s="3">
        <v>12.289136140094472</v>
      </c>
    </row>
    <row r="605" spans="1:17" x14ac:dyDescent="0.3">
      <c r="A605" t="s">
        <v>175</v>
      </c>
      <c r="B605" s="19" t="s">
        <v>173</v>
      </c>
      <c r="C605" s="21" t="s">
        <v>171</v>
      </c>
      <c r="D605" s="24">
        <v>3</v>
      </c>
      <c r="E605" t="s">
        <v>167</v>
      </c>
      <c r="F605">
        <v>1.4999999999999999E-2</v>
      </c>
      <c r="G605">
        <v>15.36</v>
      </c>
      <c r="H605">
        <v>0.79</v>
      </c>
      <c r="I605">
        <v>24.54</v>
      </c>
      <c r="J605">
        <v>9.1999999999999992E-4</v>
      </c>
      <c r="K605">
        <v>1.31</v>
      </c>
      <c r="L605">
        <v>6.3E-2</v>
      </c>
      <c r="M605">
        <v>0.56100000000000005</v>
      </c>
      <c r="N605">
        <v>0.375</v>
      </c>
      <c r="O605">
        <v>12.37</v>
      </c>
      <c r="P605" s="3">
        <v>74.046570103097537</v>
      </c>
      <c r="Q605" s="3">
        <v>26.927405046260748</v>
      </c>
    </row>
    <row r="606" spans="1:17" x14ac:dyDescent="0.3">
      <c r="A606" t="s">
        <v>175</v>
      </c>
      <c r="B606" s="19" t="s">
        <v>174</v>
      </c>
      <c r="C606" s="21" t="s">
        <v>171</v>
      </c>
      <c r="D606" s="24">
        <v>3</v>
      </c>
      <c r="E606" t="s">
        <v>167</v>
      </c>
      <c r="F606">
        <v>0.02</v>
      </c>
      <c r="G606">
        <v>15.62</v>
      </c>
      <c r="H606">
        <v>0.65</v>
      </c>
      <c r="I606">
        <v>25.07</v>
      </c>
      <c r="J606">
        <v>2E-3</v>
      </c>
      <c r="K606">
        <v>1.04</v>
      </c>
      <c r="L606">
        <v>7.1999999999999995E-2</v>
      </c>
      <c r="M606">
        <v>0.59</v>
      </c>
      <c r="N606">
        <v>0.38700000000000001</v>
      </c>
      <c r="O606">
        <v>12.64</v>
      </c>
      <c r="P606" s="3">
        <v>73.954088382665375</v>
      </c>
      <c r="Q606" s="3">
        <v>32.020134851854841</v>
      </c>
    </row>
    <row r="607" spans="1:17" x14ac:dyDescent="0.3">
      <c r="A607" t="s">
        <v>176</v>
      </c>
      <c r="B607" s="19" t="s">
        <v>177</v>
      </c>
      <c r="C607" s="21" t="s">
        <v>171</v>
      </c>
      <c r="D607" s="24">
        <v>3</v>
      </c>
      <c r="E607" t="s">
        <v>167</v>
      </c>
      <c r="F607">
        <v>8.6999999999999994E-3</v>
      </c>
      <c r="G607">
        <v>18.899999999999999</v>
      </c>
      <c r="H607">
        <v>0.34</v>
      </c>
      <c r="I607">
        <v>25.65</v>
      </c>
      <c r="J607">
        <v>1.23E-2</v>
      </c>
      <c r="K607">
        <v>1.76</v>
      </c>
      <c r="L607">
        <v>2.7E-2</v>
      </c>
      <c r="M607">
        <v>0.45900000000000002</v>
      </c>
      <c r="N607">
        <v>0.24</v>
      </c>
      <c r="O607">
        <v>7.51</v>
      </c>
      <c r="P607" s="3">
        <v>85.256026236811351</v>
      </c>
      <c r="Q607" s="3">
        <v>41.195430533455017</v>
      </c>
    </row>
    <row r="608" spans="1:17" x14ac:dyDescent="0.3">
      <c r="A608" t="s">
        <v>176</v>
      </c>
      <c r="B608" s="19" t="s">
        <v>177</v>
      </c>
      <c r="C608" s="21" t="s">
        <v>171</v>
      </c>
      <c r="D608" s="24">
        <v>3</v>
      </c>
      <c r="E608" t="s">
        <v>167</v>
      </c>
      <c r="F608">
        <v>5.0000000000000001E-3</v>
      </c>
      <c r="G608">
        <v>18.3</v>
      </c>
      <c r="H608">
        <v>0.35</v>
      </c>
      <c r="I608">
        <v>26.39</v>
      </c>
      <c r="J608">
        <v>6.9999999999999999E-4</v>
      </c>
      <c r="K608">
        <v>0.69</v>
      </c>
      <c r="L608">
        <v>2.3E-2</v>
      </c>
      <c r="M608">
        <v>0.47899999999999998</v>
      </c>
      <c r="N608">
        <v>0.24</v>
      </c>
      <c r="O608">
        <v>7.67</v>
      </c>
      <c r="P608" s="3">
        <v>84.572823919174283</v>
      </c>
      <c r="Q608" s="3">
        <v>41.526803765372328</v>
      </c>
    </row>
    <row r="609" spans="1:17" x14ac:dyDescent="0.3">
      <c r="A609" t="s">
        <v>178</v>
      </c>
      <c r="B609" s="19" t="s">
        <v>174</v>
      </c>
      <c r="C609" s="21" t="s">
        <v>171</v>
      </c>
      <c r="D609" s="24">
        <v>3</v>
      </c>
      <c r="E609" t="s">
        <v>167</v>
      </c>
      <c r="F609">
        <v>0.03</v>
      </c>
      <c r="G609">
        <v>15.55</v>
      </c>
      <c r="H609">
        <v>0.32</v>
      </c>
      <c r="I609">
        <v>24.11</v>
      </c>
      <c r="J609">
        <v>1.2999999999999999E-3</v>
      </c>
      <c r="K609">
        <v>0.52</v>
      </c>
      <c r="L609">
        <v>3.6999999999999998E-2</v>
      </c>
      <c r="M609">
        <v>1.65</v>
      </c>
      <c r="N609">
        <v>0.42799999999999999</v>
      </c>
      <c r="O609">
        <v>12.65</v>
      </c>
      <c r="P609" s="3">
        <v>73.852211340241254</v>
      </c>
      <c r="Q609" s="3">
        <v>72.794331890864171</v>
      </c>
    </row>
    <row r="610" spans="1:17" x14ac:dyDescent="0.3">
      <c r="A610" t="s">
        <v>179</v>
      </c>
      <c r="B610" s="19" t="s">
        <v>174</v>
      </c>
      <c r="C610" s="21" t="s">
        <v>171</v>
      </c>
      <c r="D610" s="24">
        <v>3</v>
      </c>
      <c r="E610" t="s">
        <v>167</v>
      </c>
      <c r="F610">
        <v>0.02</v>
      </c>
      <c r="G610">
        <v>17.03</v>
      </c>
      <c r="H610">
        <v>0.27</v>
      </c>
      <c r="I610">
        <v>25.58</v>
      </c>
      <c r="J610">
        <v>2.9999999999999997E-4</v>
      </c>
      <c r="K610">
        <v>0.54</v>
      </c>
      <c r="L610">
        <v>4.1000000000000002E-2</v>
      </c>
      <c r="M610">
        <v>0.5</v>
      </c>
      <c r="N610">
        <v>0.38400000000000001</v>
      </c>
      <c r="O610">
        <v>11.77</v>
      </c>
      <c r="P610" s="3">
        <v>76.875960605611368</v>
      </c>
      <c r="Q610" s="3">
        <v>49.004864525577986</v>
      </c>
    </row>
    <row r="611" spans="1:17" x14ac:dyDescent="0.3">
      <c r="A611" t="s">
        <v>180</v>
      </c>
      <c r="B611" s="19" t="s">
        <v>181</v>
      </c>
      <c r="C611" s="21" t="s">
        <v>171</v>
      </c>
      <c r="D611" s="24">
        <v>3</v>
      </c>
      <c r="E611" t="s">
        <v>167</v>
      </c>
      <c r="F611">
        <v>9.1999999999999998E-3</v>
      </c>
      <c r="G611">
        <v>15.81</v>
      </c>
      <c r="H611">
        <v>0.37</v>
      </c>
      <c r="I611">
        <v>25.789999999999996</v>
      </c>
      <c r="J611">
        <v>4.8999999999999998E-3</v>
      </c>
      <c r="K611">
        <v>0.86499999999999999</v>
      </c>
      <c r="L611">
        <v>4.2999999999999997E-2</v>
      </c>
      <c r="M611">
        <v>0.94079999999999997</v>
      </c>
      <c r="N611">
        <v>0.39900000000000002</v>
      </c>
      <c r="O611">
        <v>11.29</v>
      </c>
      <c r="P611" s="3">
        <v>76.289605861992897</v>
      </c>
      <c r="Q611" s="3">
        <v>56.886717652896564</v>
      </c>
    </row>
    <row r="612" spans="1:17" x14ac:dyDescent="0.3">
      <c r="A612" t="s">
        <v>182</v>
      </c>
      <c r="B612" s="19" t="s">
        <v>173</v>
      </c>
      <c r="C612" s="21" t="s">
        <v>171</v>
      </c>
      <c r="D612" s="24">
        <v>3</v>
      </c>
      <c r="E612" t="s">
        <v>167</v>
      </c>
      <c r="F612">
        <v>1.03E-2</v>
      </c>
      <c r="G612">
        <v>14.87</v>
      </c>
      <c r="H612">
        <v>0.38</v>
      </c>
      <c r="I612">
        <v>24.09</v>
      </c>
      <c r="J612">
        <v>4.5999999999999996E-4</v>
      </c>
      <c r="K612">
        <v>0.94</v>
      </c>
      <c r="L612">
        <v>3.4000000000000002E-2</v>
      </c>
      <c r="M612">
        <v>1.0049999999999999</v>
      </c>
      <c r="N612">
        <v>0.40100000000000002</v>
      </c>
      <c r="O612">
        <v>13.069999999999999</v>
      </c>
      <c r="P612" s="3">
        <v>72.33067948573337</v>
      </c>
      <c r="Q612" s="3">
        <v>57.84892669692988</v>
      </c>
    </row>
    <row r="613" spans="1:17" x14ac:dyDescent="0.3">
      <c r="A613" t="s">
        <v>182</v>
      </c>
      <c r="B613" s="19" t="s">
        <v>183</v>
      </c>
      <c r="C613" s="21" t="s">
        <v>171</v>
      </c>
      <c r="D613" s="24">
        <v>3</v>
      </c>
      <c r="E613" t="s">
        <v>167</v>
      </c>
      <c r="F613">
        <v>0.03</v>
      </c>
      <c r="G613">
        <v>15.7</v>
      </c>
      <c r="H613">
        <v>0.47</v>
      </c>
      <c r="I613">
        <v>24.01</v>
      </c>
      <c r="J613">
        <v>0.02</v>
      </c>
      <c r="K613">
        <v>0.78600000000000003</v>
      </c>
      <c r="L613">
        <v>7.8E-2</v>
      </c>
      <c r="M613">
        <v>1.7</v>
      </c>
      <c r="N613">
        <v>0.37</v>
      </c>
      <c r="O613">
        <v>13.23</v>
      </c>
      <c r="P613" s="3">
        <v>73.166207086386208</v>
      </c>
      <c r="Q613" s="3">
        <v>65.241100809700015</v>
      </c>
    </row>
    <row r="614" spans="1:17" x14ac:dyDescent="0.3">
      <c r="A614" t="s">
        <v>184</v>
      </c>
      <c r="B614" s="19" t="s">
        <v>165</v>
      </c>
      <c r="C614" s="21" t="s">
        <v>171</v>
      </c>
      <c r="D614" s="24">
        <v>3</v>
      </c>
      <c r="E614" t="s">
        <v>167</v>
      </c>
      <c r="F614">
        <v>0.04</v>
      </c>
      <c r="G614">
        <v>15.85</v>
      </c>
      <c r="H614">
        <v>0.75700000000000001</v>
      </c>
      <c r="I614">
        <v>24.34</v>
      </c>
      <c r="J614">
        <v>0.02</v>
      </c>
      <c r="K614">
        <v>0.80100000000000005</v>
      </c>
      <c r="L614">
        <v>0.05</v>
      </c>
      <c r="M614">
        <v>0.73899999999999999</v>
      </c>
      <c r="N614">
        <v>0.37</v>
      </c>
      <c r="O614">
        <v>12.99</v>
      </c>
      <c r="P614" s="3">
        <v>73.708793459915398</v>
      </c>
      <c r="Q614" s="3">
        <v>33.624743194301175</v>
      </c>
    </row>
    <row r="615" spans="1:17" x14ac:dyDescent="0.3">
      <c r="A615" t="s">
        <v>185</v>
      </c>
      <c r="B615" s="19" t="s">
        <v>186</v>
      </c>
      <c r="C615" s="21" t="s">
        <v>171</v>
      </c>
      <c r="D615" s="24">
        <v>3</v>
      </c>
      <c r="E615" t="s">
        <v>167</v>
      </c>
      <c r="F615">
        <v>8.8999999999999996E-2</v>
      </c>
      <c r="G615">
        <v>12.66</v>
      </c>
      <c r="H615">
        <v>1.21</v>
      </c>
      <c r="I615">
        <v>24.27</v>
      </c>
      <c r="J615">
        <v>0.03</v>
      </c>
      <c r="K615">
        <v>2.37</v>
      </c>
      <c r="L615">
        <v>0.24</v>
      </c>
      <c r="M615">
        <v>0.49</v>
      </c>
      <c r="N615">
        <v>0.43</v>
      </c>
      <c r="O615">
        <v>14.84</v>
      </c>
      <c r="P615" s="3">
        <v>66.21788527484587</v>
      </c>
      <c r="Q615" s="3">
        <v>17.365137331266514</v>
      </c>
    </row>
    <row r="616" spans="1:17" x14ac:dyDescent="0.3">
      <c r="A616" t="s">
        <v>187</v>
      </c>
      <c r="B616" s="19" t="s">
        <v>188</v>
      </c>
      <c r="C616" s="21" t="s">
        <v>171</v>
      </c>
      <c r="D616" s="24">
        <v>3</v>
      </c>
      <c r="E616" t="s">
        <v>167</v>
      </c>
      <c r="F616">
        <v>0.05</v>
      </c>
      <c r="G616">
        <v>12.9</v>
      </c>
      <c r="H616">
        <v>0.84199999999999997</v>
      </c>
      <c r="I616">
        <v>24.08</v>
      </c>
      <c r="J616">
        <v>0.02</v>
      </c>
      <c r="K616">
        <v>2.33</v>
      </c>
      <c r="L616">
        <v>0.18</v>
      </c>
      <c r="M616">
        <v>0.48</v>
      </c>
      <c r="N616">
        <v>0.5</v>
      </c>
      <c r="O616">
        <v>15.29</v>
      </c>
      <c r="P616" s="3">
        <v>65.969294904200595</v>
      </c>
      <c r="Q616" s="3">
        <v>22.829023877744323</v>
      </c>
    </row>
    <row r="617" spans="1:17" x14ac:dyDescent="0.3">
      <c r="A617" t="s">
        <v>189</v>
      </c>
      <c r="B617" s="19" t="s">
        <v>165</v>
      </c>
      <c r="C617" s="21" t="s">
        <v>171</v>
      </c>
      <c r="D617" s="24">
        <v>3</v>
      </c>
      <c r="E617" t="s">
        <v>167</v>
      </c>
      <c r="F617">
        <v>0.06</v>
      </c>
      <c r="G617">
        <v>13.77</v>
      </c>
      <c r="H617">
        <v>1.47</v>
      </c>
      <c r="I617">
        <v>23.84</v>
      </c>
      <c r="J617">
        <v>0.02</v>
      </c>
      <c r="K617">
        <v>1.99</v>
      </c>
      <c r="L617">
        <v>0.08</v>
      </c>
      <c r="M617">
        <v>0.38</v>
      </c>
      <c r="N617">
        <v>0.4</v>
      </c>
      <c r="O617">
        <v>14.59</v>
      </c>
      <c r="P617" s="3">
        <v>68.439717101063763</v>
      </c>
      <c r="Q617" s="3">
        <v>11.827756044485419</v>
      </c>
    </row>
    <row r="618" spans="1:17" x14ac:dyDescent="0.3">
      <c r="A618" t="s">
        <v>190</v>
      </c>
      <c r="B618" s="19" t="s">
        <v>191</v>
      </c>
      <c r="C618" s="21" t="s">
        <v>171</v>
      </c>
      <c r="D618" s="24">
        <v>3</v>
      </c>
      <c r="E618" t="s">
        <v>167</v>
      </c>
      <c r="F618">
        <v>7.3999999999999996E-2</v>
      </c>
      <c r="G618">
        <v>12.6</v>
      </c>
      <c r="H618">
        <v>1.6</v>
      </c>
      <c r="I618">
        <v>24.7</v>
      </c>
      <c r="J618">
        <v>0.02</v>
      </c>
      <c r="K618">
        <v>2.52</v>
      </c>
      <c r="L618">
        <v>0.14000000000000001</v>
      </c>
      <c r="M618">
        <v>0.53</v>
      </c>
      <c r="N618">
        <v>0.46</v>
      </c>
      <c r="O618">
        <v>14.5</v>
      </c>
      <c r="P618" s="3">
        <v>66.628853498751738</v>
      </c>
      <c r="Q618" s="3">
        <v>14.668032083185375</v>
      </c>
    </row>
    <row r="619" spans="1:17" x14ac:dyDescent="0.3">
      <c r="A619" t="s">
        <v>190</v>
      </c>
      <c r="B619" s="19" t="s">
        <v>188</v>
      </c>
      <c r="C619" s="21" t="s">
        <v>171</v>
      </c>
      <c r="D619" s="24">
        <v>3</v>
      </c>
      <c r="E619" t="s">
        <v>167</v>
      </c>
      <c r="F619">
        <v>7.3999999999999996E-2</v>
      </c>
      <c r="G619">
        <v>13.22</v>
      </c>
      <c r="H619">
        <v>0.76800000000000002</v>
      </c>
      <c r="I619">
        <v>24.03</v>
      </c>
      <c r="J619">
        <v>0.03</v>
      </c>
      <c r="K619">
        <v>2.12</v>
      </c>
      <c r="L619">
        <v>0.11</v>
      </c>
      <c r="M619">
        <v>0.55000000000000004</v>
      </c>
      <c r="N619">
        <v>0.5</v>
      </c>
      <c r="O619">
        <v>15.61</v>
      </c>
      <c r="P619" s="3">
        <v>66.054346268598763</v>
      </c>
      <c r="Q619" s="3">
        <v>27.09380974884208</v>
      </c>
    </row>
    <row r="620" spans="1:17" x14ac:dyDescent="0.3">
      <c r="A620" t="s">
        <v>192</v>
      </c>
      <c r="B620" s="19" t="s">
        <v>188</v>
      </c>
      <c r="C620" s="21" t="s">
        <v>171</v>
      </c>
      <c r="D620" s="24">
        <v>3</v>
      </c>
      <c r="E620" t="s">
        <v>167</v>
      </c>
      <c r="F620">
        <v>9.6000000000000002E-2</v>
      </c>
      <c r="G620">
        <v>13.15</v>
      </c>
      <c r="H620">
        <v>1.5</v>
      </c>
      <c r="I620">
        <v>23.98</v>
      </c>
      <c r="J620">
        <v>0.03</v>
      </c>
      <c r="K620">
        <v>2.3199999999999998</v>
      </c>
      <c r="L620">
        <v>0.18</v>
      </c>
      <c r="M620">
        <v>0.44</v>
      </c>
      <c r="N620">
        <v>0.45</v>
      </c>
      <c r="O620">
        <v>14.69</v>
      </c>
      <c r="P620" s="3">
        <v>67.286079320712375</v>
      </c>
      <c r="Q620" s="3">
        <v>13.210857756341435</v>
      </c>
    </row>
    <row r="621" spans="1:17" x14ac:dyDescent="0.3">
      <c r="A621" t="s">
        <v>193</v>
      </c>
      <c r="B621" s="19" t="s">
        <v>188</v>
      </c>
      <c r="C621" s="21" t="s">
        <v>171</v>
      </c>
      <c r="D621" s="24">
        <v>3</v>
      </c>
      <c r="E621" t="s">
        <v>167</v>
      </c>
      <c r="F621">
        <v>0.16</v>
      </c>
      <c r="G621">
        <v>12.69</v>
      </c>
      <c r="H621">
        <v>1.58</v>
      </c>
      <c r="I621">
        <v>24.13</v>
      </c>
      <c r="J621">
        <v>0.02</v>
      </c>
      <c r="K621">
        <v>2.5099999999999998</v>
      </c>
      <c r="L621">
        <v>0.16</v>
      </c>
      <c r="M621">
        <v>0.43</v>
      </c>
      <c r="N621">
        <v>0.43</v>
      </c>
      <c r="O621">
        <v>14.77</v>
      </c>
      <c r="P621" s="3">
        <v>66.376416078595952</v>
      </c>
      <c r="Q621" s="3">
        <v>12.374959922539308</v>
      </c>
    </row>
    <row r="622" spans="1:17" x14ac:dyDescent="0.3">
      <c r="A622" t="s">
        <v>432</v>
      </c>
      <c r="B622" s="22" t="s">
        <v>428</v>
      </c>
      <c r="C622" s="21" t="s">
        <v>429</v>
      </c>
      <c r="D622" s="24">
        <v>3</v>
      </c>
      <c r="E622" t="s">
        <v>167</v>
      </c>
      <c r="F622">
        <v>2.9674567192113456E-2</v>
      </c>
      <c r="G622">
        <v>15.317263795156807</v>
      </c>
      <c r="H622">
        <v>1.9423885603318913</v>
      </c>
      <c r="I622">
        <v>24.680658422515521</v>
      </c>
      <c r="J622">
        <v>8.3015022028770109E-3</v>
      </c>
      <c r="K622">
        <v>2.2012632630133564</v>
      </c>
      <c r="L622">
        <v>7.7915357165216317E-2</v>
      </c>
      <c r="M622">
        <v>0.58789999999999998</v>
      </c>
      <c r="N622">
        <v>0.34850783089220017</v>
      </c>
      <c r="O622">
        <v>11.270982963086688</v>
      </c>
      <c r="P622" s="3">
        <v>75.743112283778785</v>
      </c>
      <c r="Q622" s="3">
        <v>13.574219340789185</v>
      </c>
    </row>
    <row r="623" spans="1:17" x14ac:dyDescent="0.3">
      <c r="A623" s="5" t="s">
        <v>179</v>
      </c>
      <c r="B623" s="22" t="s">
        <v>462</v>
      </c>
      <c r="C623" s="21" t="s">
        <v>463</v>
      </c>
      <c r="D623" s="24">
        <v>3</v>
      </c>
      <c r="E623" t="s">
        <v>469</v>
      </c>
      <c r="F623">
        <v>1.0200000000000001E-2</v>
      </c>
      <c r="G623">
        <v>16.836400000000001</v>
      </c>
      <c r="H623">
        <v>0.30690000000000001</v>
      </c>
      <c r="I623">
        <v>25.273455022293902</v>
      </c>
      <c r="J623">
        <v>1.34E-2</v>
      </c>
      <c r="K623">
        <v>0.59889999999999999</v>
      </c>
      <c r="L623">
        <v>4.4600000000000001E-2</v>
      </c>
      <c r="M623">
        <v>0.46893999999999997</v>
      </c>
      <c r="N623">
        <v>0.38100000000000001</v>
      </c>
      <c r="O623">
        <v>11.9031</v>
      </c>
      <c r="P623" s="3">
        <v>76.470358786741357</v>
      </c>
      <c r="Q623" s="3">
        <v>44.224791607954849</v>
      </c>
    </row>
    <row r="624" spans="1:17" x14ac:dyDescent="0.3">
      <c r="A624" s="5" t="s">
        <v>470</v>
      </c>
      <c r="B624" s="22" t="s">
        <v>462</v>
      </c>
      <c r="C624" s="21" t="s">
        <v>463</v>
      </c>
      <c r="D624" s="24">
        <v>3</v>
      </c>
      <c r="E624" t="s">
        <v>469</v>
      </c>
      <c r="F624">
        <v>1.23E-2</v>
      </c>
      <c r="G624">
        <v>15.501300000000001</v>
      </c>
      <c r="H624">
        <v>0.25290000000000001</v>
      </c>
      <c r="I624">
        <v>26.086615266901223</v>
      </c>
      <c r="J624">
        <v>1.38E-2</v>
      </c>
      <c r="K624">
        <v>0.76619999999999999</v>
      </c>
      <c r="L624">
        <v>3.6499999999999998E-2</v>
      </c>
      <c r="M624">
        <v>0.35688999999999999</v>
      </c>
      <c r="N624">
        <v>0.40189999999999998</v>
      </c>
      <c r="O624">
        <v>12.2834</v>
      </c>
      <c r="P624" s="3">
        <v>74.356348875137414</v>
      </c>
      <c r="Q624" s="3">
        <v>42.273318681618079</v>
      </c>
    </row>
    <row r="625" spans="1:17" x14ac:dyDescent="0.3">
      <c r="A625" s="5" t="s">
        <v>471</v>
      </c>
      <c r="B625" s="22" t="s">
        <v>462</v>
      </c>
      <c r="C625" s="21" t="s">
        <v>463</v>
      </c>
      <c r="D625" s="24">
        <v>3</v>
      </c>
      <c r="E625" t="s">
        <v>469</v>
      </c>
      <c r="F625">
        <v>1.52E-2</v>
      </c>
      <c r="G625">
        <v>14.0815</v>
      </c>
      <c r="H625">
        <v>0.56489999999999996</v>
      </c>
      <c r="I625">
        <v>25.700018217563649</v>
      </c>
      <c r="J625">
        <v>1.9300000000000001E-2</v>
      </c>
      <c r="K625">
        <v>1.3791</v>
      </c>
      <c r="L625">
        <v>7.2499999999999995E-2</v>
      </c>
      <c r="M625">
        <v>0.44624999999999998</v>
      </c>
      <c r="N625">
        <v>0.4446</v>
      </c>
      <c r="O625">
        <v>13.4323</v>
      </c>
      <c r="P625" s="3">
        <v>70.66351723182332</v>
      </c>
      <c r="Q625" s="3">
        <v>29.074547887718825</v>
      </c>
    </row>
    <row r="626" spans="1:17" x14ac:dyDescent="0.3">
      <c r="A626" s="5" t="s">
        <v>471</v>
      </c>
      <c r="B626" s="22" t="s">
        <v>462</v>
      </c>
      <c r="C626" s="21" t="s">
        <v>463</v>
      </c>
      <c r="D626" s="24">
        <v>3</v>
      </c>
      <c r="E626" t="s">
        <v>469</v>
      </c>
      <c r="F626">
        <v>1.6799999999999999E-2</v>
      </c>
      <c r="G626">
        <v>14.270799999999999</v>
      </c>
      <c r="H626">
        <v>0.57489999999999997</v>
      </c>
      <c r="I626">
        <v>25.332276573218028</v>
      </c>
      <c r="J626">
        <v>2.0500000000000001E-2</v>
      </c>
      <c r="K626">
        <v>1.4259999999999999</v>
      </c>
      <c r="L626">
        <v>7.4499999999999997E-2</v>
      </c>
      <c r="M626">
        <v>0.48699999999999999</v>
      </c>
      <c r="N626">
        <v>0.45440000000000003</v>
      </c>
      <c r="O626">
        <v>13.672599999999999</v>
      </c>
      <c r="P626" s="3">
        <v>70.572679183966002</v>
      </c>
      <c r="Q626" s="3">
        <v>30.535438157050969</v>
      </c>
    </row>
    <row r="627" spans="1:17" x14ac:dyDescent="0.3">
      <c r="A627" s="5" t="s">
        <v>433</v>
      </c>
      <c r="B627" s="22" t="s">
        <v>462</v>
      </c>
      <c r="C627" s="21" t="s">
        <v>463</v>
      </c>
      <c r="D627" s="24">
        <v>3</v>
      </c>
      <c r="E627" t="s">
        <v>469</v>
      </c>
      <c r="F627">
        <v>1.5100000000000001E-2</v>
      </c>
      <c r="G627">
        <v>12.853300000000001</v>
      </c>
      <c r="H627">
        <v>0.58940000000000003</v>
      </c>
      <c r="I627">
        <v>26.020895248584878</v>
      </c>
      <c r="J627">
        <v>1.52E-2</v>
      </c>
      <c r="K627">
        <v>1.7204999999999999</v>
      </c>
      <c r="L627">
        <v>4.0300000000000002E-2</v>
      </c>
      <c r="M627">
        <v>0.43463999999999997</v>
      </c>
      <c r="N627">
        <v>0.50880000000000003</v>
      </c>
      <c r="O627">
        <v>14.069000000000001</v>
      </c>
      <c r="P627" s="3">
        <v>67.732917565403</v>
      </c>
      <c r="Q627" s="3">
        <v>27.676132690105664</v>
      </c>
    </row>
    <row r="628" spans="1:17" x14ac:dyDescent="0.3">
      <c r="A628" s="5" t="s">
        <v>479</v>
      </c>
      <c r="B628" s="22" t="s">
        <v>149</v>
      </c>
      <c r="C628" s="21" t="s">
        <v>150</v>
      </c>
      <c r="D628" s="24">
        <v>3</v>
      </c>
      <c r="E628" t="s">
        <v>469</v>
      </c>
      <c r="F628">
        <v>4.4511850788170181E-2</v>
      </c>
      <c r="G628">
        <v>15.914275258038904</v>
      </c>
      <c r="H628">
        <v>1.3602012534204253</v>
      </c>
      <c r="I628">
        <v>24.900353677412916</v>
      </c>
      <c r="J628">
        <v>8.3015022028770109E-3</v>
      </c>
      <c r="K628">
        <v>1.014868127752911</v>
      </c>
      <c r="L628">
        <v>8.9902335190634203E-2</v>
      </c>
      <c r="M628">
        <v>0.51999763140753608</v>
      </c>
      <c r="N628">
        <v>0.42595401553491136</v>
      </c>
      <c r="O628">
        <v>11.434217888758978</v>
      </c>
      <c r="P628" s="3">
        <v>76.178740655768664</v>
      </c>
      <c r="Q628" s="3">
        <v>16.554158089744909</v>
      </c>
    </row>
    <row r="629" spans="1:17" x14ac:dyDescent="0.3">
      <c r="A629" s="5" t="s">
        <v>480</v>
      </c>
      <c r="B629" s="22" t="s">
        <v>149</v>
      </c>
      <c r="C629" s="21" t="s">
        <v>150</v>
      </c>
      <c r="D629" s="24">
        <v>3</v>
      </c>
      <c r="E629" t="s">
        <v>469</v>
      </c>
      <c r="F629">
        <v>4.4511850788170181E-2</v>
      </c>
      <c r="G629">
        <v>16.354495831679237</v>
      </c>
      <c r="H629">
        <v>1.2331785682761056</v>
      </c>
      <c r="I629">
        <v>24.629240384135279</v>
      </c>
      <c r="J629">
        <v>8.3015022028770109E-3</v>
      </c>
      <c r="K629">
        <v>0.95054549993758575</v>
      </c>
      <c r="L629">
        <v>7.7915357165216317E-2</v>
      </c>
      <c r="M629">
        <v>0.54736592779740645</v>
      </c>
      <c r="N629">
        <v>0.42595401553491136</v>
      </c>
      <c r="O629">
        <v>11.574133539335227</v>
      </c>
      <c r="P629" s="3">
        <v>76.45210435808508</v>
      </c>
      <c r="Q629" s="3">
        <v>18.721185801792537</v>
      </c>
    </row>
    <row r="630" spans="1:17" x14ac:dyDescent="0.3">
      <c r="A630" s="5" t="s">
        <v>481</v>
      </c>
      <c r="B630" s="22" t="s">
        <v>151</v>
      </c>
      <c r="C630" s="21" t="s">
        <v>152</v>
      </c>
      <c r="D630" s="24">
        <v>3</v>
      </c>
      <c r="E630" t="s">
        <v>469</v>
      </c>
      <c r="F630">
        <v>1.4837283596056728E-2</v>
      </c>
      <c r="G630">
        <v>16.80074682413656</v>
      </c>
      <c r="H630">
        <v>1.2120081207520521</v>
      </c>
      <c r="I630">
        <v>23.535438476773798</v>
      </c>
      <c r="J630">
        <v>8.3015022028770109E-3</v>
      </c>
      <c r="K630">
        <v>0.90766374806070216</v>
      </c>
      <c r="L630">
        <v>7.7915357165216317E-2</v>
      </c>
      <c r="M630">
        <v>0.36947200126324931</v>
      </c>
      <c r="N630">
        <v>0.27880626471376013</v>
      </c>
      <c r="O630">
        <v>12.957743861700353</v>
      </c>
      <c r="P630" s="3">
        <v>74.868809548525306</v>
      </c>
      <c r="Q630" s="3">
        <v>13.658412792915154</v>
      </c>
    </row>
    <row r="631" spans="1:17" x14ac:dyDescent="0.3">
      <c r="A631" s="5" t="s">
        <v>164</v>
      </c>
      <c r="B631" s="22" t="s">
        <v>151</v>
      </c>
      <c r="C631" s="21" t="s">
        <v>152</v>
      </c>
      <c r="D631" s="24">
        <v>3</v>
      </c>
      <c r="E631" t="s">
        <v>469</v>
      </c>
      <c r="F631">
        <v>2.225592539408509E-2</v>
      </c>
      <c r="G631">
        <v>16.396708763398173</v>
      </c>
      <c r="H631">
        <v>0.52396857622031945</v>
      </c>
      <c r="I631">
        <v>24.769471397899576</v>
      </c>
      <c r="J631">
        <v>1.6603004405754022E-2</v>
      </c>
      <c r="K631">
        <v>0.86478199618381857</v>
      </c>
      <c r="L631">
        <v>1.7980467038126838E-2</v>
      </c>
      <c r="M631">
        <v>0.42420859404298994</v>
      </c>
      <c r="N631">
        <v>0.24782779085667567</v>
      </c>
      <c r="O631">
        <v>13.043247870385837</v>
      </c>
      <c r="P631" s="3">
        <v>74.282581025858889</v>
      </c>
      <c r="Q631" s="3">
        <v>29.58365852004632</v>
      </c>
    </row>
    <row r="632" spans="1:17" x14ac:dyDescent="0.3">
      <c r="A632" s="5" t="s">
        <v>482</v>
      </c>
      <c r="B632" s="22" t="s">
        <v>151</v>
      </c>
      <c r="C632" s="21" t="s">
        <v>152</v>
      </c>
      <c r="D632" s="24">
        <v>3</v>
      </c>
      <c r="E632" t="s">
        <v>469</v>
      </c>
      <c r="F632">
        <v>3.7093208990141818E-2</v>
      </c>
      <c r="G632">
        <v>16.680138447796743</v>
      </c>
      <c r="H632">
        <v>0.84152528908111923</v>
      </c>
      <c r="I632">
        <v>22.918422016210911</v>
      </c>
      <c r="J632">
        <v>1.6603004405754022E-2</v>
      </c>
      <c r="K632">
        <v>0.92195766535299672</v>
      </c>
      <c r="L632">
        <v>0.15583071433043263</v>
      </c>
      <c r="M632">
        <v>0.51999763140753608</v>
      </c>
      <c r="N632">
        <v>0.34850783089220017</v>
      </c>
      <c r="O632">
        <v>13.439675547018542</v>
      </c>
      <c r="P632" s="3">
        <v>74.0372477348877</v>
      </c>
      <c r="Q632" s="3">
        <v>24.280013524553294</v>
      </c>
    </row>
    <row r="633" spans="1:17" x14ac:dyDescent="0.3">
      <c r="A633" s="5" t="s">
        <v>182</v>
      </c>
      <c r="B633" s="22" t="s">
        <v>151</v>
      </c>
      <c r="C633" s="21" t="s">
        <v>152</v>
      </c>
      <c r="D633" s="24">
        <v>3</v>
      </c>
      <c r="E633" t="s">
        <v>469</v>
      </c>
      <c r="F633">
        <v>2.9674567192113456E-2</v>
      </c>
      <c r="G633">
        <v>15.703210599444223</v>
      </c>
      <c r="H633">
        <v>0.47104245741018624</v>
      </c>
      <c r="I633">
        <v>24.00287518932144</v>
      </c>
      <c r="J633">
        <v>1.6603004405754022E-2</v>
      </c>
      <c r="K633">
        <v>0.78616545107619884</v>
      </c>
      <c r="L633">
        <v>7.7915357165216317E-2</v>
      </c>
      <c r="M633">
        <v>1.7036764502694275</v>
      </c>
      <c r="N633">
        <v>0.37174168628501347</v>
      </c>
      <c r="O633">
        <v>12.709004927342576</v>
      </c>
      <c r="P633" s="3">
        <v>73.951558062474291</v>
      </c>
      <c r="Q633" s="3">
        <v>65.239847761716405</v>
      </c>
    </row>
    <row r="634" spans="1:17" x14ac:dyDescent="0.3">
      <c r="A634" s="5" t="s">
        <v>184</v>
      </c>
      <c r="B634" s="22" t="s">
        <v>151</v>
      </c>
      <c r="C634" s="21" t="s">
        <v>152</v>
      </c>
      <c r="D634" s="24">
        <v>3</v>
      </c>
      <c r="E634" t="s">
        <v>469</v>
      </c>
      <c r="F634">
        <v>4.4511850788170181E-2</v>
      </c>
      <c r="G634">
        <v>15.853971069868994</v>
      </c>
      <c r="H634">
        <v>0.75684349898490588</v>
      </c>
      <c r="I634">
        <v>24.339429622355745</v>
      </c>
      <c r="J634">
        <v>2.4904506608631034E-2</v>
      </c>
      <c r="K634">
        <v>0.8004593683684933</v>
      </c>
      <c r="L634">
        <v>4.7947912101671576E-2</v>
      </c>
      <c r="M634">
        <v>0.73894400252649861</v>
      </c>
      <c r="N634">
        <v>0.37174168628501347</v>
      </c>
      <c r="O634">
        <v>12.273711792216469</v>
      </c>
      <c r="P634" s="3">
        <v>74.797819078895202</v>
      </c>
      <c r="Q634" s="3">
        <v>33.627666586810115</v>
      </c>
    </row>
    <row r="635" spans="1:17" x14ac:dyDescent="0.3">
      <c r="A635" s="5" t="s">
        <v>189</v>
      </c>
      <c r="B635" s="22" t="s">
        <v>151</v>
      </c>
      <c r="C635" s="21" t="s">
        <v>152</v>
      </c>
      <c r="D635" s="24">
        <v>3</v>
      </c>
      <c r="E635" t="s">
        <v>469</v>
      </c>
      <c r="F635">
        <v>5.9349134384226912E-2</v>
      </c>
      <c r="G635">
        <v>13.773476578007145</v>
      </c>
      <c r="H635">
        <v>1.4660534910406919</v>
      </c>
      <c r="I635">
        <v>23.839272339929767</v>
      </c>
      <c r="J635">
        <v>1.6603004405754022E-2</v>
      </c>
      <c r="K635">
        <v>1.9940014622750859</v>
      </c>
      <c r="L635">
        <v>7.7915357165216317E-2</v>
      </c>
      <c r="M635">
        <v>0.38315614945818449</v>
      </c>
      <c r="N635">
        <v>0.40272016014209799</v>
      </c>
      <c r="O635">
        <v>14.691143310506096</v>
      </c>
      <c r="P635" s="3">
        <v>68.295772669800115</v>
      </c>
      <c r="Q635" s="3">
        <v>11.942531189991946</v>
      </c>
    </row>
    <row r="636" spans="1:17" x14ac:dyDescent="0.3">
      <c r="A636" s="5" t="s">
        <v>483</v>
      </c>
      <c r="B636" s="22" t="s">
        <v>151</v>
      </c>
      <c r="C636" s="21" t="s">
        <v>152</v>
      </c>
      <c r="D636" s="24">
        <v>3</v>
      </c>
      <c r="E636" t="s">
        <v>469</v>
      </c>
      <c r="F636">
        <v>0.16321011955662401</v>
      </c>
      <c r="G636">
        <v>13.049826319968242</v>
      </c>
      <c r="H636">
        <v>1.5507352811369053</v>
      </c>
      <c r="I636">
        <v>23.942108416690246</v>
      </c>
      <c r="J636">
        <v>3.3206008811508043E-2</v>
      </c>
      <c r="K636">
        <v>2.3584963532285959</v>
      </c>
      <c r="L636">
        <v>0.17980467038126841</v>
      </c>
      <c r="M636">
        <v>0.46526103862779544</v>
      </c>
      <c r="N636">
        <v>0.46467710785626687</v>
      </c>
      <c r="O636">
        <v>14.193665441790547</v>
      </c>
      <c r="P636" s="3">
        <v>67.871592372348303</v>
      </c>
      <c r="Q636" s="3">
        <v>13.471672872204776</v>
      </c>
    </row>
    <row r="637" spans="1:17" x14ac:dyDescent="0.3">
      <c r="A637" s="5" t="s">
        <v>185</v>
      </c>
      <c r="B637" s="22" t="s">
        <v>151</v>
      </c>
      <c r="C637" s="21" t="s">
        <v>152</v>
      </c>
      <c r="D637" s="24">
        <v>3</v>
      </c>
      <c r="E637" t="s">
        <v>469</v>
      </c>
      <c r="F637">
        <v>8.9023701576340361E-2</v>
      </c>
      <c r="G637">
        <v>12.657849096863833</v>
      </c>
      <c r="H637">
        <v>1.2067155088710388</v>
      </c>
      <c r="I637">
        <v>24.269314115473598</v>
      </c>
      <c r="J637">
        <v>3.3206008811508043E-2</v>
      </c>
      <c r="K637">
        <v>2.3656433118747433</v>
      </c>
      <c r="L637">
        <v>0.23973956050835787</v>
      </c>
      <c r="M637">
        <v>0.4926293350176657</v>
      </c>
      <c r="N637">
        <v>0.42595401553491136</v>
      </c>
      <c r="O637">
        <v>14.652277852012695</v>
      </c>
      <c r="P637" s="3">
        <v>66.498286687661817</v>
      </c>
      <c r="Q637" s="3">
        <v>17.48124119710009</v>
      </c>
    </row>
    <row r="638" spans="1:17" x14ac:dyDescent="0.3">
      <c r="A638" s="5" t="s">
        <v>187</v>
      </c>
      <c r="B638" s="22" t="s">
        <v>151</v>
      </c>
      <c r="C638" s="21" t="s">
        <v>152</v>
      </c>
      <c r="D638" s="24">
        <v>3</v>
      </c>
      <c r="E638" t="s">
        <v>469</v>
      </c>
      <c r="F638">
        <v>5.193049258619855E-2</v>
      </c>
      <c r="G638">
        <v>12.90509626836046</v>
      </c>
      <c r="H638">
        <v>0.84152528908111923</v>
      </c>
      <c r="I638">
        <v>24.072990696203586</v>
      </c>
      <c r="J638">
        <v>2.4904506608631034E-2</v>
      </c>
      <c r="K638">
        <v>2.3299085186440069</v>
      </c>
      <c r="L638">
        <v>0.17980467038126841</v>
      </c>
      <c r="M638">
        <v>0.47894518682273057</v>
      </c>
      <c r="N638">
        <v>0.49565558171335133</v>
      </c>
      <c r="O638">
        <v>15.4062677467847</v>
      </c>
      <c r="P638" s="3">
        <v>65.807911398278293</v>
      </c>
      <c r="Q638" s="3">
        <v>22.800214710671042</v>
      </c>
    </row>
    <row r="639" spans="1:17" x14ac:dyDescent="0.3">
      <c r="A639" s="5" t="s">
        <v>190</v>
      </c>
      <c r="B639" s="22" t="s">
        <v>151</v>
      </c>
      <c r="C639" s="21" t="s">
        <v>152</v>
      </c>
      <c r="D639" s="24">
        <v>3</v>
      </c>
      <c r="E639" t="s">
        <v>469</v>
      </c>
      <c r="F639">
        <v>7.4186417980283637E-2</v>
      </c>
      <c r="G639">
        <v>13.224708465660976</v>
      </c>
      <c r="H639">
        <v>0.76742872274693252</v>
      </c>
      <c r="I639">
        <v>24.030921392074298</v>
      </c>
      <c r="J639">
        <v>3.3206008811508043E-2</v>
      </c>
      <c r="K639">
        <v>2.1226467179057367</v>
      </c>
      <c r="L639">
        <v>0.10788280222876104</v>
      </c>
      <c r="M639">
        <v>0.54736592779740645</v>
      </c>
      <c r="N639">
        <v>0.49565558171335133</v>
      </c>
      <c r="O639">
        <v>15.312990646400534</v>
      </c>
      <c r="P639" s="3">
        <v>66.491685524573654</v>
      </c>
      <c r="Q639" s="3">
        <v>27.013753968541781</v>
      </c>
    </row>
    <row r="640" spans="1:17" x14ac:dyDescent="0.3">
      <c r="A640" s="5" t="s">
        <v>192</v>
      </c>
      <c r="B640" s="22" t="s">
        <v>151</v>
      </c>
      <c r="C640" s="21" t="s">
        <v>152</v>
      </c>
      <c r="D640" s="24">
        <v>3</v>
      </c>
      <c r="E640" t="s">
        <v>469</v>
      </c>
      <c r="F640">
        <v>9.644234337436873E-2</v>
      </c>
      <c r="G640">
        <v>13.152343439857084</v>
      </c>
      <c r="H640">
        <v>1.5031017742077852</v>
      </c>
      <c r="I640">
        <v>23.979503353694056</v>
      </c>
      <c r="J640">
        <v>3.3206008811508043E-2</v>
      </c>
      <c r="K640">
        <v>2.3227615599978599</v>
      </c>
      <c r="L640">
        <v>0.17980467038126841</v>
      </c>
      <c r="M640">
        <v>0.44473481633539269</v>
      </c>
      <c r="N640">
        <v>0.44918787092772461</v>
      </c>
      <c r="O640">
        <v>14.364673459161517</v>
      </c>
      <c r="P640" s="3">
        <v>67.781006924511729</v>
      </c>
      <c r="Q640" s="3">
        <v>13.310209696708174</v>
      </c>
    </row>
    <row r="641" spans="1:17" x14ac:dyDescent="0.3">
      <c r="A641" s="5" t="s">
        <v>193</v>
      </c>
      <c r="B641" s="22" t="s">
        <v>151</v>
      </c>
      <c r="C641" s="21" t="s">
        <v>152</v>
      </c>
      <c r="D641" s="24">
        <v>3</v>
      </c>
      <c r="E641" t="s">
        <v>469</v>
      </c>
      <c r="F641">
        <v>0.15579147775859564</v>
      </c>
      <c r="G641">
        <v>12.69403160976578</v>
      </c>
      <c r="H641">
        <v>1.5824909524229853</v>
      </c>
      <c r="I641">
        <v>24.129083101709302</v>
      </c>
      <c r="J641">
        <v>2.4904506608631034E-2</v>
      </c>
      <c r="K641">
        <v>2.5085824847976883</v>
      </c>
      <c r="L641">
        <v>0.15583071433043263</v>
      </c>
      <c r="M641">
        <v>0.4310506681404575</v>
      </c>
      <c r="N641">
        <v>0.43369863399918246</v>
      </c>
      <c r="O641">
        <v>14.43463128444964</v>
      </c>
      <c r="P641" s="3">
        <v>66.894106847574193</v>
      </c>
      <c r="Q641" s="3">
        <v>12.384343995847631</v>
      </c>
    </row>
    <row r="642" spans="1:17" x14ac:dyDescent="0.3">
      <c r="A642" s="5" t="s">
        <v>484</v>
      </c>
      <c r="B642" s="22" t="s">
        <v>151</v>
      </c>
      <c r="C642" s="21" t="s">
        <v>152</v>
      </c>
      <c r="D642" s="24">
        <v>3</v>
      </c>
      <c r="E642" t="s">
        <v>469</v>
      </c>
      <c r="F642">
        <v>7.418641798028364E-3</v>
      </c>
      <c r="G642">
        <v>18.434990323541086</v>
      </c>
      <c r="H642">
        <v>0.42870156236207962</v>
      </c>
      <c r="I642">
        <v>22.572518848925654</v>
      </c>
      <c r="J642">
        <v>8.3015022028770109E-3</v>
      </c>
      <c r="K642">
        <v>0.59319756763022269</v>
      </c>
      <c r="L642">
        <v>4.7947912101671576E-2</v>
      </c>
      <c r="M642">
        <v>0.34210370487337899</v>
      </c>
      <c r="N642">
        <v>0.42595401553491136</v>
      </c>
      <c r="O642">
        <v>12.996609320193752</v>
      </c>
      <c r="P642" s="3">
        <v>76.521019799230558</v>
      </c>
      <c r="Q642" s="3">
        <v>29.283723584809579</v>
      </c>
    </row>
    <row r="643" spans="1:17" x14ac:dyDescent="0.3">
      <c r="A643" t="s">
        <v>194</v>
      </c>
      <c r="B643" s="19" t="s">
        <v>195</v>
      </c>
      <c r="C643" s="21" t="s">
        <v>171</v>
      </c>
      <c r="D643" s="24">
        <v>4</v>
      </c>
      <c r="E643" t="s">
        <v>196</v>
      </c>
      <c r="F643">
        <v>0.29299999999999998</v>
      </c>
      <c r="G643">
        <v>4.4400000000000004</v>
      </c>
      <c r="H643">
        <v>7.09</v>
      </c>
      <c r="I643">
        <v>22.4</v>
      </c>
      <c r="J643">
        <v>2.2999999999999996E-2</v>
      </c>
      <c r="K643">
        <v>7.65</v>
      </c>
      <c r="L643">
        <v>0.28499999999999998</v>
      </c>
      <c r="M643">
        <v>0.216</v>
      </c>
      <c r="N643">
        <v>0.436</v>
      </c>
      <c r="O643">
        <v>15.5</v>
      </c>
      <c r="P643" s="3">
        <v>39.692655095182438</v>
      </c>
      <c r="Q643" s="3">
        <v>1.5563223295448028</v>
      </c>
    </row>
    <row r="644" spans="1:17" x14ac:dyDescent="0.3">
      <c r="A644" t="s">
        <v>194</v>
      </c>
      <c r="B644" s="19" t="s">
        <v>165</v>
      </c>
      <c r="C644" s="21" t="s">
        <v>171</v>
      </c>
      <c r="D644" s="24">
        <v>4</v>
      </c>
      <c r="E644" t="s">
        <v>196</v>
      </c>
      <c r="F644">
        <v>0.31</v>
      </c>
      <c r="G644">
        <v>4.4000000000000004</v>
      </c>
      <c r="H644">
        <v>7.0250000000000004</v>
      </c>
      <c r="I644">
        <v>21.96</v>
      </c>
      <c r="J644">
        <v>0.04</v>
      </c>
      <c r="K644">
        <v>7.8769999999999998</v>
      </c>
      <c r="L644">
        <v>0.11</v>
      </c>
      <c r="M644">
        <v>8.8999999999999996E-2</v>
      </c>
      <c r="N644">
        <v>0.28000000000000003</v>
      </c>
      <c r="O644">
        <v>15.72</v>
      </c>
      <c r="P644" s="3">
        <v>39.13999623442519</v>
      </c>
      <c r="Q644" s="3">
        <v>0.65313364148625219</v>
      </c>
    </row>
    <row r="645" spans="1:17" x14ac:dyDescent="0.3">
      <c r="A645" t="s">
        <v>197</v>
      </c>
      <c r="B645" s="19" t="s">
        <v>195</v>
      </c>
      <c r="C645" s="21" t="s">
        <v>171</v>
      </c>
      <c r="D645" s="24">
        <v>4</v>
      </c>
      <c r="E645" t="s">
        <v>196</v>
      </c>
      <c r="F645">
        <v>0.377</v>
      </c>
      <c r="G645">
        <v>4.51</v>
      </c>
      <c r="H645">
        <v>6.77</v>
      </c>
      <c r="I645">
        <v>22.5</v>
      </c>
      <c r="J645">
        <v>4.2000000000000003E-2</v>
      </c>
      <c r="K645">
        <v>7.43</v>
      </c>
      <c r="L645">
        <v>0.40899999999999997</v>
      </c>
      <c r="M645">
        <v>0.21299999999999999</v>
      </c>
      <c r="N645">
        <v>0.40199999999999997</v>
      </c>
      <c r="O645">
        <v>15.7</v>
      </c>
      <c r="P645" s="3">
        <v>39.760228697017574</v>
      </c>
      <c r="Q645" s="3">
        <v>1.6064301818174316</v>
      </c>
    </row>
    <row r="646" spans="1:17" x14ac:dyDescent="0.3">
      <c r="A646" t="s">
        <v>198</v>
      </c>
      <c r="B646" s="19" t="s">
        <v>195</v>
      </c>
      <c r="C646" s="21" t="s">
        <v>171</v>
      </c>
      <c r="D646" s="24">
        <v>4</v>
      </c>
      <c r="E646" t="s">
        <v>196</v>
      </c>
      <c r="F646">
        <v>0.35199999999999998</v>
      </c>
      <c r="G646">
        <v>4.5199999999999996</v>
      </c>
      <c r="H646">
        <v>6.77</v>
      </c>
      <c r="I646">
        <v>22.7</v>
      </c>
      <c r="J646">
        <v>3.3000000000000002E-2</v>
      </c>
      <c r="K646">
        <v>7.58</v>
      </c>
      <c r="L646">
        <v>0.36899999999999999</v>
      </c>
      <c r="M646">
        <v>0.20699999999999999</v>
      </c>
      <c r="N646">
        <v>0.39700000000000002</v>
      </c>
      <c r="O646">
        <v>14.9</v>
      </c>
      <c r="P646" s="3">
        <v>41.072929926407973</v>
      </c>
      <c r="Q646" s="3">
        <v>1.5618854048239403</v>
      </c>
    </row>
    <row r="647" spans="1:17" x14ac:dyDescent="0.3">
      <c r="A647" t="s">
        <v>199</v>
      </c>
      <c r="B647" s="19" t="s">
        <v>165</v>
      </c>
      <c r="C647" s="21" t="s">
        <v>171</v>
      </c>
      <c r="D647" s="24">
        <v>4</v>
      </c>
      <c r="E647" t="s">
        <v>196</v>
      </c>
      <c r="F647">
        <v>0.33</v>
      </c>
      <c r="G647">
        <v>4.2300000000000004</v>
      </c>
      <c r="H647">
        <v>7.3369999999999997</v>
      </c>
      <c r="I647">
        <v>21.88</v>
      </c>
      <c r="J647">
        <v>0.02</v>
      </c>
      <c r="K647">
        <v>7.9560000000000004</v>
      </c>
      <c r="L647">
        <v>0.25</v>
      </c>
      <c r="M647">
        <v>0.1</v>
      </c>
      <c r="N647">
        <v>0.22</v>
      </c>
      <c r="O647">
        <v>14.57</v>
      </c>
      <c r="P647" s="3">
        <v>40.014410139643012</v>
      </c>
      <c r="Q647" s="3">
        <v>0.70230353999402362</v>
      </c>
    </row>
    <row r="648" spans="1:17" x14ac:dyDescent="0.3">
      <c r="A648" t="s">
        <v>199</v>
      </c>
      <c r="B648" s="19" t="s">
        <v>195</v>
      </c>
      <c r="C648" s="21" t="s">
        <v>171</v>
      </c>
      <c r="D648" s="24">
        <v>4</v>
      </c>
      <c r="E648" t="s">
        <v>196</v>
      </c>
      <c r="F648">
        <v>0.36699999999999999</v>
      </c>
      <c r="G648">
        <v>3.86</v>
      </c>
      <c r="H648">
        <v>6.4</v>
      </c>
      <c r="I648">
        <v>22.7</v>
      </c>
      <c r="J648">
        <v>2.1000000000000001E-2</v>
      </c>
      <c r="K648">
        <v>8.2200000000000006</v>
      </c>
      <c r="L648">
        <v>0.42099999999999999</v>
      </c>
      <c r="M648">
        <v>0.20899999999999999</v>
      </c>
      <c r="N648">
        <v>0.40199999999999997</v>
      </c>
      <c r="O648">
        <v>15.6</v>
      </c>
      <c r="P648" s="3">
        <v>36.245932327447704</v>
      </c>
      <c r="Q648" s="3">
        <v>1.6663743321124662</v>
      </c>
    </row>
    <row r="649" spans="1:17" x14ac:dyDescent="0.3">
      <c r="A649" t="s">
        <v>200</v>
      </c>
      <c r="B649" s="19" t="s">
        <v>165</v>
      </c>
      <c r="C649" s="21" t="s">
        <v>171</v>
      </c>
      <c r="D649" s="24">
        <v>4</v>
      </c>
      <c r="E649" t="s">
        <v>196</v>
      </c>
      <c r="F649">
        <v>0.39</v>
      </c>
      <c r="G649">
        <v>3.77</v>
      </c>
      <c r="H649">
        <v>7.5389999999999997</v>
      </c>
      <c r="I649">
        <v>21.72</v>
      </c>
      <c r="J649">
        <v>0.04</v>
      </c>
      <c r="K649">
        <v>7.67</v>
      </c>
      <c r="L649">
        <v>0.32</v>
      </c>
      <c r="M649">
        <v>0.1</v>
      </c>
      <c r="N649">
        <v>0.22</v>
      </c>
      <c r="O649">
        <v>15.04</v>
      </c>
      <c r="P649" s="3">
        <v>36.546071454826333</v>
      </c>
      <c r="Q649" s="3">
        <v>0.68361465512940378</v>
      </c>
    </row>
    <row r="650" spans="1:17" x14ac:dyDescent="0.3">
      <c r="A650" t="s">
        <v>201</v>
      </c>
      <c r="B650" s="19" t="s">
        <v>177</v>
      </c>
      <c r="C650" s="21" t="s">
        <v>171</v>
      </c>
      <c r="D650" s="24">
        <v>4</v>
      </c>
      <c r="E650" t="s">
        <v>196</v>
      </c>
      <c r="F650">
        <v>0.248</v>
      </c>
      <c r="G650">
        <v>5.56</v>
      </c>
      <c r="H650">
        <v>7.9580000000000002</v>
      </c>
      <c r="I650">
        <v>22.72</v>
      </c>
      <c r="J650">
        <v>1.78E-2</v>
      </c>
      <c r="K650">
        <v>7.4429999999999996</v>
      </c>
      <c r="L650">
        <v>0.12</v>
      </c>
      <c r="M650">
        <v>0.27900000000000003</v>
      </c>
      <c r="N650">
        <v>0.37</v>
      </c>
      <c r="O650">
        <v>11.23</v>
      </c>
      <c r="P650" s="3">
        <v>53.218225899738158</v>
      </c>
      <c r="Q650" s="3">
        <v>1.7867934906391234</v>
      </c>
    </row>
    <row r="651" spans="1:17" x14ac:dyDescent="0.3">
      <c r="A651" t="s">
        <v>201</v>
      </c>
      <c r="B651" s="19" t="s">
        <v>165</v>
      </c>
      <c r="C651" s="21" t="s">
        <v>171</v>
      </c>
      <c r="D651" s="24">
        <v>4</v>
      </c>
      <c r="E651" t="s">
        <v>196</v>
      </c>
      <c r="F651">
        <v>0.21</v>
      </c>
      <c r="G651">
        <v>6.12</v>
      </c>
      <c r="H651">
        <v>7.1050000000000004</v>
      </c>
      <c r="I651">
        <v>22.12</v>
      </c>
      <c r="J651">
        <v>0.02</v>
      </c>
      <c r="K651">
        <v>7.2270000000000003</v>
      </c>
      <c r="L651">
        <v>0.1</v>
      </c>
      <c r="M651">
        <v>0.16</v>
      </c>
      <c r="N651">
        <v>0.35</v>
      </c>
      <c r="O651">
        <v>14.08</v>
      </c>
      <c r="P651" s="3">
        <v>49.967616286770863</v>
      </c>
      <c r="Q651" s="3">
        <v>1.1550862919389417</v>
      </c>
    </row>
    <row r="652" spans="1:17" x14ac:dyDescent="0.3">
      <c r="A652" t="s">
        <v>202</v>
      </c>
      <c r="B652" s="19" t="s">
        <v>177</v>
      </c>
      <c r="C652" s="21" t="s">
        <v>171</v>
      </c>
      <c r="D652" s="24">
        <v>4</v>
      </c>
      <c r="E652" t="s">
        <v>196</v>
      </c>
      <c r="F652">
        <v>0.24</v>
      </c>
      <c r="G652">
        <v>7.4039999999999999</v>
      </c>
      <c r="H652">
        <v>5.5720000000000001</v>
      </c>
      <c r="I652">
        <v>22.94</v>
      </c>
      <c r="J652">
        <v>1.9800000000000002E-2</v>
      </c>
      <c r="K652">
        <v>5.87</v>
      </c>
      <c r="L652">
        <v>0.35</v>
      </c>
      <c r="M652">
        <v>0.44700000000000001</v>
      </c>
      <c r="N652">
        <v>0.4</v>
      </c>
      <c r="O652">
        <v>13.39</v>
      </c>
      <c r="P652" s="3">
        <v>55.956828255084012</v>
      </c>
      <c r="Q652" s="3">
        <v>3.9965695047574403</v>
      </c>
    </row>
    <row r="653" spans="1:17" x14ac:dyDescent="0.3">
      <c r="A653" t="s">
        <v>203</v>
      </c>
      <c r="B653" s="19" t="s">
        <v>177</v>
      </c>
      <c r="C653" s="21" t="s">
        <v>171</v>
      </c>
      <c r="D653" s="24">
        <v>4</v>
      </c>
      <c r="E653" t="s">
        <v>196</v>
      </c>
      <c r="F653">
        <v>0.3</v>
      </c>
      <c r="G653">
        <v>4.12</v>
      </c>
      <c r="H653">
        <v>6.2859999999999996</v>
      </c>
      <c r="I653">
        <v>23.21</v>
      </c>
      <c r="J653">
        <v>1.7999999999999999E-2</v>
      </c>
      <c r="K653">
        <v>7.01</v>
      </c>
      <c r="L653">
        <v>0.32</v>
      </c>
      <c r="M653">
        <v>0.21099999999999999</v>
      </c>
      <c r="N653">
        <v>0.38</v>
      </c>
      <c r="O653">
        <v>15.02</v>
      </c>
      <c r="P653" s="3">
        <v>38.659883977366768</v>
      </c>
      <c r="Q653" s="3">
        <v>1.7120349452756756</v>
      </c>
    </row>
    <row r="654" spans="1:17" x14ac:dyDescent="0.3">
      <c r="A654" t="s">
        <v>204</v>
      </c>
      <c r="B654" s="19" t="s">
        <v>177</v>
      </c>
      <c r="C654" s="21" t="s">
        <v>171</v>
      </c>
      <c r="D654" s="24">
        <v>4</v>
      </c>
      <c r="E654" t="s">
        <v>196</v>
      </c>
      <c r="F654">
        <v>0.216</v>
      </c>
      <c r="G654">
        <v>7.76</v>
      </c>
      <c r="H654">
        <v>7.25</v>
      </c>
      <c r="I654">
        <v>23.46</v>
      </c>
      <c r="J654">
        <v>1.23E-2</v>
      </c>
      <c r="K654">
        <v>6.35</v>
      </c>
      <c r="L654">
        <v>0.2</v>
      </c>
      <c r="M654">
        <v>0.498</v>
      </c>
      <c r="N654">
        <v>0.34</v>
      </c>
      <c r="O654">
        <v>9.67</v>
      </c>
      <c r="P654" s="3">
        <v>64.836313657119518</v>
      </c>
      <c r="Q654" s="3">
        <v>3.4417928835870573</v>
      </c>
    </row>
    <row r="655" spans="1:17" x14ac:dyDescent="0.3">
      <c r="A655" t="s">
        <v>204</v>
      </c>
      <c r="B655" s="19" t="s">
        <v>177</v>
      </c>
      <c r="C655" s="21" t="s">
        <v>171</v>
      </c>
      <c r="D655" s="24">
        <v>4</v>
      </c>
      <c r="E655" t="s">
        <v>196</v>
      </c>
      <c r="F655">
        <v>0.20099999999999998</v>
      </c>
      <c r="G655">
        <v>7.7969999999999997</v>
      </c>
      <c r="H655">
        <v>7.2569999999999997</v>
      </c>
      <c r="I655">
        <v>23.46</v>
      </c>
      <c r="J655">
        <v>8.3999999999999995E-3</v>
      </c>
      <c r="K655">
        <v>6.39</v>
      </c>
      <c r="L655">
        <v>0.19</v>
      </c>
      <c r="M655">
        <v>0.5</v>
      </c>
      <c r="N655">
        <v>0.32</v>
      </c>
      <c r="O655">
        <v>9.68</v>
      </c>
      <c r="P655" s="3">
        <v>64.92114946914127</v>
      </c>
      <c r="Q655" s="3">
        <v>3.451920027464296</v>
      </c>
    </row>
    <row r="656" spans="1:17" x14ac:dyDescent="0.3">
      <c r="A656" t="s">
        <v>205</v>
      </c>
      <c r="B656" s="19" t="s">
        <v>206</v>
      </c>
      <c r="C656" s="21" t="s">
        <v>171</v>
      </c>
      <c r="D656" s="24">
        <v>4</v>
      </c>
      <c r="E656" t="s">
        <v>196</v>
      </c>
      <c r="F656">
        <v>0.45</v>
      </c>
      <c r="G656">
        <v>4.32</v>
      </c>
      <c r="H656">
        <v>7.343</v>
      </c>
      <c r="I656">
        <v>24.38</v>
      </c>
      <c r="J656">
        <v>0.04</v>
      </c>
      <c r="K656">
        <v>7.6909999999999998</v>
      </c>
      <c r="L656">
        <v>0.54</v>
      </c>
      <c r="M656">
        <v>0.21</v>
      </c>
      <c r="N656">
        <v>0.53</v>
      </c>
      <c r="O656">
        <v>10.050000000000001</v>
      </c>
      <c r="P656" s="3">
        <v>49.689520821831387</v>
      </c>
      <c r="Q656" s="3">
        <v>1.4623527891688552</v>
      </c>
    </row>
    <row r="657" spans="1:17" x14ac:dyDescent="0.3">
      <c r="A657" t="s">
        <v>205</v>
      </c>
      <c r="B657" s="19" t="s">
        <v>206</v>
      </c>
      <c r="C657" s="21" t="s">
        <v>171</v>
      </c>
      <c r="D657" s="24">
        <v>4</v>
      </c>
      <c r="E657" t="s">
        <v>196</v>
      </c>
      <c r="F657">
        <v>0.46</v>
      </c>
      <c r="G657">
        <v>3.63</v>
      </c>
      <c r="H657">
        <v>6.6020000000000003</v>
      </c>
      <c r="I657">
        <v>23.21</v>
      </c>
      <c r="J657">
        <v>9.0999999999999998E-2</v>
      </c>
      <c r="K657">
        <v>7.3550000000000004</v>
      </c>
      <c r="L657">
        <v>0.55000000000000004</v>
      </c>
      <c r="M657">
        <v>0.21</v>
      </c>
      <c r="N657">
        <v>0.42</v>
      </c>
      <c r="O657">
        <v>14</v>
      </c>
      <c r="P657" s="3">
        <v>37.333715048794417</v>
      </c>
      <c r="Q657" s="3">
        <v>1.623820169649548</v>
      </c>
    </row>
    <row r="658" spans="1:17" x14ac:dyDescent="0.3">
      <c r="A658" t="s">
        <v>205</v>
      </c>
      <c r="B658" s="19" t="s">
        <v>207</v>
      </c>
      <c r="C658" s="21" t="s">
        <v>171</v>
      </c>
      <c r="D658" s="24">
        <v>4</v>
      </c>
      <c r="E658" t="s">
        <v>196</v>
      </c>
      <c r="F658">
        <v>0.371</v>
      </c>
      <c r="G658">
        <v>4.49</v>
      </c>
      <c r="H658">
        <v>6.35</v>
      </c>
      <c r="I658">
        <v>22.3</v>
      </c>
      <c r="J658">
        <v>6.9099999999999995E-2</v>
      </c>
      <c r="K658">
        <v>6.45</v>
      </c>
      <c r="L658">
        <v>0.45200000000000001</v>
      </c>
      <c r="M658">
        <v>0.22800000000000001</v>
      </c>
      <c r="N658">
        <v>0.90600000000000003</v>
      </c>
      <c r="O658">
        <v>14.3</v>
      </c>
      <c r="P658" s="3">
        <v>41.909029591986908</v>
      </c>
      <c r="Q658" s="3">
        <v>1.8291440231934626</v>
      </c>
    </row>
    <row r="659" spans="1:17" x14ac:dyDescent="0.3">
      <c r="A659" t="s">
        <v>205</v>
      </c>
      <c r="B659" s="19" t="s">
        <v>206</v>
      </c>
      <c r="C659" s="21" t="s">
        <v>171</v>
      </c>
      <c r="D659" s="24">
        <v>4</v>
      </c>
      <c r="E659" t="s">
        <v>196</v>
      </c>
      <c r="F659">
        <v>0.32</v>
      </c>
      <c r="G659">
        <v>4.32</v>
      </c>
      <c r="H659">
        <v>6.649</v>
      </c>
      <c r="I659">
        <v>22.4</v>
      </c>
      <c r="J659">
        <v>7.4999999999999997E-2</v>
      </c>
      <c r="K659">
        <v>7.0549999999999997</v>
      </c>
      <c r="L659">
        <v>0.623</v>
      </c>
      <c r="M659">
        <v>0.23</v>
      </c>
      <c r="N659">
        <v>0.44</v>
      </c>
      <c r="O659">
        <v>14.95</v>
      </c>
      <c r="P659" s="3">
        <v>39.901811109191605</v>
      </c>
      <c r="Q659" s="3">
        <v>1.7633927901647313</v>
      </c>
    </row>
    <row r="660" spans="1:17" x14ac:dyDescent="0.3">
      <c r="A660" t="s">
        <v>205</v>
      </c>
      <c r="B660" s="19" t="s">
        <v>208</v>
      </c>
      <c r="C660" s="21" t="s">
        <v>171</v>
      </c>
      <c r="D660" s="24">
        <v>4</v>
      </c>
      <c r="E660" t="s">
        <v>196</v>
      </c>
      <c r="F660">
        <v>0.32</v>
      </c>
      <c r="G660">
        <v>4.0599999999999996</v>
      </c>
      <c r="H660">
        <v>6.4690000000000003</v>
      </c>
      <c r="I660">
        <v>22.87</v>
      </c>
      <c r="J660">
        <v>0.05</v>
      </c>
      <c r="K660">
        <v>6.88</v>
      </c>
      <c r="L660">
        <v>0.44</v>
      </c>
      <c r="M660">
        <v>0.27</v>
      </c>
      <c r="N660">
        <v>0.43</v>
      </c>
      <c r="O660">
        <v>13.82</v>
      </c>
      <c r="P660" s="3">
        <v>40.29866742691145</v>
      </c>
      <c r="Q660" s="3">
        <v>2.1199470396481903</v>
      </c>
    </row>
    <row r="661" spans="1:17" x14ac:dyDescent="0.3">
      <c r="A661" t="s">
        <v>205</v>
      </c>
      <c r="B661" s="19" t="s">
        <v>209</v>
      </c>
      <c r="C661" s="21" t="s">
        <v>171</v>
      </c>
      <c r="D661" s="24">
        <v>4</v>
      </c>
      <c r="E661" t="s">
        <v>196</v>
      </c>
      <c r="F661">
        <v>0.42</v>
      </c>
      <c r="G661">
        <v>4.62</v>
      </c>
      <c r="H661">
        <v>6.3630000000000004</v>
      </c>
      <c r="I661">
        <v>22.54</v>
      </c>
      <c r="J661">
        <v>0.05</v>
      </c>
      <c r="K661">
        <v>6.4900000000000011</v>
      </c>
      <c r="L661">
        <v>0.47</v>
      </c>
      <c r="M661">
        <v>0.27</v>
      </c>
      <c r="N661">
        <v>0.4</v>
      </c>
      <c r="O661">
        <v>14.79</v>
      </c>
      <c r="P661" s="3">
        <v>41.783709895228931</v>
      </c>
      <c r="Q661" s="3">
        <v>2.1545019524824602</v>
      </c>
    </row>
    <row r="662" spans="1:17" x14ac:dyDescent="0.3">
      <c r="A662" t="s">
        <v>210</v>
      </c>
      <c r="B662" s="19" t="s">
        <v>206</v>
      </c>
      <c r="C662" s="21" t="s">
        <v>171</v>
      </c>
      <c r="D662" s="24">
        <v>4</v>
      </c>
      <c r="E662" t="s">
        <v>196</v>
      </c>
      <c r="F662">
        <v>0.24</v>
      </c>
      <c r="G662">
        <v>5.39</v>
      </c>
      <c r="H662">
        <v>6.3529999999999998</v>
      </c>
      <c r="I662">
        <v>22.69</v>
      </c>
      <c r="J662">
        <v>5.8000000000000003E-2</v>
      </c>
      <c r="K662">
        <v>6.4900000000000011</v>
      </c>
      <c r="L662">
        <v>0.37</v>
      </c>
      <c r="M662">
        <v>0.27</v>
      </c>
      <c r="N662">
        <v>0.46</v>
      </c>
      <c r="O662">
        <v>14.5</v>
      </c>
      <c r="P662" s="3">
        <v>46.065517183593791</v>
      </c>
      <c r="Q662" s="3">
        <v>2.1578200882868823</v>
      </c>
    </row>
    <row r="663" spans="1:17" x14ac:dyDescent="0.3">
      <c r="A663" t="s">
        <v>210</v>
      </c>
      <c r="B663" s="19" t="s">
        <v>206</v>
      </c>
      <c r="C663" s="21" t="s">
        <v>171</v>
      </c>
      <c r="D663" s="24">
        <v>4</v>
      </c>
      <c r="E663" t="s">
        <v>196</v>
      </c>
      <c r="F663">
        <v>0.45</v>
      </c>
      <c r="G663">
        <v>4.3499999999999996</v>
      </c>
      <c r="H663">
        <v>6.6280000000000001</v>
      </c>
      <c r="I663">
        <v>24.08</v>
      </c>
      <c r="J663">
        <v>6.6000000000000003E-2</v>
      </c>
      <c r="K663">
        <v>7.2770000000000001</v>
      </c>
      <c r="L663">
        <v>0.61</v>
      </c>
      <c r="M663">
        <v>0.27</v>
      </c>
      <c r="N663">
        <v>0.37</v>
      </c>
      <c r="O663">
        <v>11.67</v>
      </c>
      <c r="P663" s="3">
        <v>46.134039266939638</v>
      </c>
      <c r="Q663" s="3">
        <v>2.0701441259781905</v>
      </c>
    </row>
    <row r="664" spans="1:17" x14ac:dyDescent="0.3">
      <c r="A664" t="s">
        <v>210</v>
      </c>
      <c r="B664" s="19" t="s">
        <v>165</v>
      </c>
      <c r="C664" s="21" t="s">
        <v>171</v>
      </c>
      <c r="D664" s="24">
        <v>4</v>
      </c>
      <c r="E664" t="s">
        <v>196</v>
      </c>
      <c r="F664">
        <v>0.3</v>
      </c>
      <c r="G664">
        <v>5.25</v>
      </c>
      <c r="H664">
        <v>5.7229999999999999</v>
      </c>
      <c r="I664">
        <v>22.56</v>
      </c>
      <c r="J664">
        <v>0.02</v>
      </c>
      <c r="K664">
        <v>6.48</v>
      </c>
      <c r="L664">
        <v>0.43</v>
      </c>
      <c r="M664">
        <v>0.31</v>
      </c>
      <c r="N664">
        <v>0.41</v>
      </c>
      <c r="O664">
        <v>15.3</v>
      </c>
      <c r="P664" s="3">
        <v>44.08466095358601</v>
      </c>
      <c r="Q664" s="3">
        <v>2.7340287589693797</v>
      </c>
    </row>
    <row r="665" spans="1:17" x14ac:dyDescent="0.3">
      <c r="A665" t="s">
        <v>211</v>
      </c>
      <c r="B665" s="19" t="s">
        <v>206</v>
      </c>
      <c r="C665" s="21" t="s">
        <v>171</v>
      </c>
      <c r="D665" s="24">
        <v>4</v>
      </c>
      <c r="E665" t="s">
        <v>196</v>
      </c>
      <c r="F665">
        <v>0.42</v>
      </c>
      <c r="G665">
        <v>3.96</v>
      </c>
      <c r="H665">
        <v>9.0630000000000006</v>
      </c>
      <c r="I665">
        <v>22.6</v>
      </c>
      <c r="J665">
        <v>8.3000000000000004E-2</v>
      </c>
      <c r="K665">
        <v>7.9409999999999998</v>
      </c>
      <c r="L665">
        <v>0.39</v>
      </c>
      <c r="M665">
        <v>0.21</v>
      </c>
      <c r="N665">
        <v>0.27</v>
      </c>
      <c r="O665">
        <v>10.83</v>
      </c>
      <c r="P665" s="3">
        <v>45.656522238659406</v>
      </c>
      <c r="Q665" s="3">
        <v>1.1881210092132877</v>
      </c>
    </row>
    <row r="666" spans="1:17" x14ac:dyDescent="0.3">
      <c r="A666" t="s">
        <v>211</v>
      </c>
      <c r="B666" s="19" t="s">
        <v>212</v>
      </c>
      <c r="C666" s="21" t="s">
        <v>171</v>
      </c>
      <c r="D666" s="24">
        <v>4</v>
      </c>
      <c r="E666" t="s">
        <v>196</v>
      </c>
      <c r="F666">
        <v>0.48</v>
      </c>
      <c r="G666">
        <v>3.7</v>
      </c>
      <c r="H666">
        <v>8.1</v>
      </c>
      <c r="I666">
        <v>22.2</v>
      </c>
      <c r="J666">
        <v>7.0000000000000007E-2</v>
      </c>
      <c r="K666">
        <v>7.1</v>
      </c>
      <c r="L666">
        <v>0.24</v>
      </c>
      <c r="M666">
        <v>0.22</v>
      </c>
      <c r="N666">
        <v>0.53</v>
      </c>
      <c r="O666">
        <v>14.8</v>
      </c>
      <c r="P666" s="3">
        <v>36.48450004899879</v>
      </c>
      <c r="Q666" s="3">
        <v>1.3898359658091417</v>
      </c>
    </row>
    <row r="667" spans="1:17" x14ac:dyDescent="0.3">
      <c r="A667" t="s">
        <v>211</v>
      </c>
      <c r="B667" s="19" t="s">
        <v>165</v>
      </c>
      <c r="C667" s="21" t="s">
        <v>171</v>
      </c>
      <c r="D667" s="24">
        <v>4</v>
      </c>
      <c r="E667" t="s">
        <v>196</v>
      </c>
      <c r="F667">
        <v>0.34</v>
      </c>
      <c r="G667">
        <v>4.5199999999999996</v>
      </c>
      <c r="H667">
        <v>6.7389999999999999</v>
      </c>
      <c r="I667">
        <v>22.6</v>
      </c>
      <c r="J667">
        <v>0.05</v>
      </c>
      <c r="K667">
        <v>7.3479999999999999</v>
      </c>
      <c r="L667">
        <v>0.49</v>
      </c>
      <c r="M667">
        <v>0.24</v>
      </c>
      <c r="N667">
        <v>0.4</v>
      </c>
      <c r="O667">
        <v>14.54</v>
      </c>
      <c r="P667" s="3">
        <v>41.666148080739617</v>
      </c>
      <c r="Q667" s="3">
        <v>1.8145425477510264</v>
      </c>
    </row>
    <row r="668" spans="1:17" x14ac:dyDescent="0.3">
      <c r="A668" t="s">
        <v>211</v>
      </c>
      <c r="B668" s="19" t="s">
        <v>206</v>
      </c>
      <c r="C668" s="21" t="s">
        <v>171</v>
      </c>
      <c r="D668" s="24">
        <v>4</v>
      </c>
      <c r="E668" t="s">
        <v>196</v>
      </c>
      <c r="F668">
        <v>0.33</v>
      </c>
      <c r="G668">
        <v>4.53</v>
      </c>
      <c r="H668">
        <v>7.1260000000000003</v>
      </c>
      <c r="I668">
        <v>22.68</v>
      </c>
      <c r="J668">
        <v>5.8000000000000003E-2</v>
      </c>
      <c r="K668">
        <v>7.0620000000000003</v>
      </c>
      <c r="L668">
        <v>0.45</v>
      </c>
      <c r="M668">
        <v>0.25</v>
      </c>
      <c r="N668">
        <v>0.48</v>
      </c>
      <c r="O668">
        <v>14.23</v>
      </c>
      <c r="P668" s="3">
        <v>42.244789074841606</v>
      </c>
      <c r="Q668" s="3">
        <v>1.7879815387745246</v>
      </c>
    </row>
    <row r="669" spans="1:17" x14ac:dyDescent="0.3">
      <c r="A669" t="s">
        <v>213</v>
      </c>
      <c r="B669" s="19" t="s">
        <v>206</v>
      </c>
      <c r="C669" s="21" t="s">
        <v>171</v>
      </c>
      <c r="D669" s="24">
        <v>4</v>
      </c>
      <c r="E669" t="s">
        <v>196</v>
      </c>
      <c r="F669">
        <v>0.28000000000000003</v>
      </c>
      <c r="G669">
        <v>4.41</v>
      </c>
      <c r="H669">
        <v>6.8449999999999998</v>
      </c>
      <c r="I669">
        <v>23.06</v>
      </c>
      <c r="J669">
        <v>4.2000000000000003E-2</v>
      </c>
      <c r="K669">
        <v>7.1619999999999999</v>
      </c>
      <c r="L669">
        <v>0.52</v>
      </c>
      <c r="M669">
        <v>0.24</v>
      </c>
      <c r="N669">
        <v>0.46</v>
      </c>
      <c r="O669">
        <v>13.66</v>
      </c>
      <c r="P669" s="3">
        <v>42.587549083904022</v>
      </c>
      <c r="Q669" s="3">
        <v>1.7869451083271728</v>
      </c>
    </row>
    <row r="670" spans="1:17" x14ac:dyDescent="0.3">
      <c r="A670" t="s">
        <v>213</v>
      </c>
      <c r="B670" s="19" t="s">
        <v>206</v>
      </c>
      <c r="C670" s="21" t="s">
        <v>171</v>
      </c>
      <c r="D670" s="24">
        <v>4</v>
      </c>
      <c r="E670" t="s">
        <v>196</v>
      </c>
      <c r="F670">
        <v>0.26</v>
      </c>
      <c r="G670">
        <v>5.25</v>
      </c>
      <c r="H670">
        <v>6.6550000000000002</v>
      </c>
      <c r="I670">
        <v>22.86</v>
      </c>
      <c r="J670">
        <v>0.05</v>
      </c>
      <c r="K670">
        <v>6.4760000000000009</v>
      </c>
      <c r="L670">
        <v>0.35</v>
      </c>
      <c r="M670">
        <v>0.25</v>
      </c>
      <c r="N670">
        <v>0.5</v>
      </c>
      <c r="O670">
        <v>14.29</v>
      </c>
      <c r="P670" s="3">
        <v>45.774254271670451</v>
      </c>
      <c r="Q670" s="3">
        <v>1.9121042620238491</v>
      </c>
    </row>
    <row r="671" spans="1:17" x14ac:dyDescent="0.3">
      <c r="A671" t="s">
        <v>213</v>
      </c>
      <c r="B671" s="19" t="s">
        <v>206</v>
      </c>
      <c r="C671" s="21" t="s">
        <v>171</v>
      </c>
      <c r="D671" s="24">
        <v>4</v>
      </c>
      <c r="E671" t="s">
        <v>196</v>
      </c>
      <c r="F671">
        <v>0.43</v>
      </c>
      <c r="G671">
        <v>4.3959999999999999</v>
      </c>
      <c r="H671">
        <v>6.6280000000000001</v>
      </c>
      <c r="I671">
        <v>23.21</v>
      </c>
      <c r="J671">
        <v>5.8000000000000003E-2</v>
      </c>
      <c r="K671">
        <v>7.1050000000000004</v>
      </c>
      <c r="L671">
        <v>0.56000000000000005</v>
      </c>
      <c r="M671">
        <v>0.28000000000000003</v>
      </c>
      <c r="N671">
        <v>0.39</v>
      </c>
      <c r="O671">
        <v>13.33</v>
      </c>
      <c r="P671" s="3">
        <v>43.108538246636712</v>
      </c>
      <c r="Q671" s="3">
        <v>2.145171384739851</v>
      </c>
    </row>
    <row r="672" spans="1:17" x14ac:dyDescent="0.3">
      <c r="A672" t="s">
        <v>213</v>
      </c>
      <c r="B672" s="19" t="s">
        <v>177</v>
      </c>
      <c r="C672" s="21" t="s">
        <v>171</v>
      </c>
      <c r="D672" s="24">
        <v>4</v>
      </c>
      <c r="E672" t="s">
        <v>196</v>
      </c>
      <c r="F672">
        <v>0.31</v>
      </c>
      <c r="G672">
        <v>5.83</v>
      </c>
      <c r="H672">
        <v>6.3029999999999999</v>
      </c>
      <c r="I672">
        <v>23.84</v>
      </c>
      <c r="J672">
        <v>3.0700000000000002E-2</v>
      </c>
      <c r="K672">
        <v>6.02</v>
      </c>
      <c r="L672">
        <v>0.34</v>
      </c>
      <c r="M672">
        <v>0.29499999999999998</v>
      </c>
      <c r="N672">
        <v>0.42</v>
      </c>
      <c r="O672">
        <v>13.91</v>
      </c>
      <c r="P672" s="3">
        <v>49.057784051415567</v>
      </c>
      <c r="Q672" s="3">
        <v>2.3711396425131843</v>
      </c>
    </row>
    <row r="673" spans="1:17" x14ac:dyDescent="0.3">
      <c r="A673" t="s">
        <v>213</v>
      </c>
      <c r="B673" s="19" t="s">
        <v>214</v>
      </c>
      <c r="C673" s="21" t="s">
        <v>171</v>
      </c>
      <c r="D673" s="24">
        <v>4</v>
      </c>
      <c r="E673" t="s">
        <v>196</v>
      </c>
      <c r="F673">
        <v>0.32</v>
      </c>
      <c r="G673">
        <v>5.31</v>
      </c>
      <c r="H673">
        <v>6.5650000000000004</v>
      </c>
      <c r="I673">
        <v>22.29</v>
      </c>
      <c r="J673">
        <v>0.04</v>
      </c>
      <c r="K673">
        <v>6.5</v>
      </c>
      <c r="L673">
        <v>0.37</v>
      </c>
      <c r="M673">
        <v>0.3</v>
      </c>
      <c r="N673">
        <v>0.38</v>
      </c>
      <c r="O673">
        <v>13.94</v>
      </c>
      <c r="P673" s="3">
        <v>46.673106175640726</v>
      </c>
      <c r="Q673" s="3">
        <v>2.3163938910111859</v>
      </c>
    </row>
    <row r="674" spans="1:17" x14ac:dyDescent="0.3">
      <c r="A674" t="s">
        <v>215</v>
      </c>
      <c r="B674" s="19" t="s">
        <v>206</v>
      </c>
      <c r="C674" s="21" t="s">
        <v>171</v>
      </c>
      <c r="D674" s="24">
        <v>4</v>
      </c>
      <c r="E674" t="s">
        <v>196</v>
      </c>
      <c r="F674">
        <v>0.27</v>
      </c>
      <c r="G674">
        <v>4.84</v>
      </c>
      <c r="H674">
        <v>6.056</v>
      </c>
      <c r="I674">
        <v>22.74</v>
      </c>
      <c r="J674">
        <v>6.6000000000000003E-2</v>
      </c>
      <c r="K674">
        <v>6.633</v>
      </c>
      <c r="L674">
        <v>0.56000000000000005</v>
      </c>
      <c r="M674">
        <v>0.28000000000000003</v>
      </c>
      <c r="N674">
        <v>0.46</v>
      </c>
      <c r="O674">
        <v>15.55</v>
      </c>
      <c r="P674" s="3">
        <v>41.696425148659998</v>
      </c>
      <c r="Q674" s="3">
        <v>2.3430392924094283</v>
      </c>
    </row>
    <row r="675" spans="1:17" x14ac:dyDescent="0.3">
      <c r="A675" t="s">
        <v>216</v>
      </c>
      <c r="B675" s="19" t="s">
        <v>206</v>
      </c>
      <c r="C675" s="21" t="s">
        <v>171</v>
      </c>
      <c r="D675" s="24">
        <v>4</v>
      </c>
      <c r="E675" t="s">
        <v>196</v>
      </c>
      <c r="F675">
        <v>0.28000000000000003</v>
      </c>
      <c r="G675">
        <v>4.29</v>
      </c>
      <c r="H675">
        <v>6.782</v>
      </c>
      <c r="I675">
        <v>22.91</v>
      </c>
      <c r="J675">
        <v>7.4999999999999997E-2</v>
      </c>
      <c r="K675">
        <v>7.069</v>
      </c>
      <c r="L675">
        <v>0.42</v>
      </c>
      <c r="M675">
        <v>0.17</v>
      </c>
      <c r="N675">
        <v>0.48</v>
      </c>
      <c r="O675">
        <v>14.43</v>
      </c>
      <c r="P675" s="3">
        <v>40.585565348379333</v>
      </c>
      <c r="Q675" s="3">
        <v>1.2840521392790016</v>
      </c>
    </row>
    <row r="676" spans="1:17" x14ac:dyDescent="0.3">
      <c r="A676" t="s">
        <v>217</v>
      </c>
      <c r="B676" s="19" t="s">
        <v>218</v>
      </c>
      <c r="C676" s="21" t="s">
        <v>171</v>
      </c>
      <c r="D676" s="24">
        <v>4</v>
      </c>
      <c r="E676" t="s">
        <v>196</v>
      </c>
      <c r="F676">
        <v>0.16800000000000001</v>
      </c>
      <c r="G676">
        <v>4.8</v>
      </c>
      <c r="H676">
        <v>6.1</v>
      </c>
      <c r="I676">
        <v>23.2</v>
      </c>
      <c r="J676">
        <v>2.3E-2</v>
      </c>
      <c r="K676">
        <v>6.5</v>
      </c>
      <c r="L676">
        <v>0.59</v>
      </c>
      <c r="M676">
        <v>0.308</v>
      </c>
      <c r="N676">
        <v>0.435</v>
      </c>
      <c r="O676">
        <v>14.8</v>
      </c>
      <c r="P676" s="3">
        <v>42.699714863723983</v>
      </c>
      <c r="Q676" s="3">
        <v>2.5532448615863288</v>
      </c>
    </row>
    <row r="677" spans="1:17" x14ac:dyDescent="0.3">
      <c r="A677" t="s">
        <v>217</v>
      </c>
      <c r="B677" s="19" t="s">
        <v>218</v>
      </c>
      <c r="C677" s="21" t="s">
        <v>171</v>
      </c>
      <c r="D677" s="24">
        <v>4</v>
      </c>
      <c r="E677" t="s">
        <v>196</v>
      </c>
      <c r="F677">
        <v>0.19600000000000001</v>
      </c>
      <c r="G677">
        <v>4.7</v>
      </c>
      <c r="H677">
        <v>6.1</v>
      </c>
      <c r="I677">
        <v>23.1</v>
      </c>
      <c r="J677">
        <v>3.4000000000000002E-2</v>
      </c>
      <c r="K677">
        <v>7.3</v>
      </c>
      <c r="L677">
        <v>0.57999999999999996</v>
      </c>
      <c r="M677">
        <v>0.309</v>
      </c>
      <c r="N677">
        <v>0.435</v>
      </c>
      <c r="O677">
        <v>15</v>
      </c>
      <c r="P677" s="3">
        <v>41.858378924051088</v>
      </c>
      <c r="Q677" s="3">
        <v>2.5613222902610739</v>
      </c>
    </row>
    <row r="678" spans="1:17" x14ac:dyDescent="0.3">
      <c r="A678" t="s">
        <v>219</v>
      </c>
      <c r="B678" s="19" t="s">
        <v>165</v>
      </c>
      <c r="C678" s="21" t="s">
        <v>171</v>
      </c>
      <c r="D678" s="24">
        <v>4</v>
      </c>
      <c r="E678" t="s">
        <v>196</v>
      </c>
      <c r="F678">
        <v>0.34</v>
      </c>
      <c r="G678">
        <v>4.29</v>
      </c>
      <c r="H678">
        <v>6.9770000000000003</v>
      </c>
      <c r="I678">
        <v>22.57</v>
      </c>
      <c r="J678">
        <v>0.06</v>
      </c>
      <c r="K678">
        <v>8.2420000000000009</v>
      </c>
      <c r="L678">
        <v>0.54</v>
      </c>
      <c r="M678">
        <v>0.12</v>
      </c>
      <c r="N678">
        <v>0.42</v>
      </c>
      <c r="O678">
        <v>14.03</v>
      </c>
      <c r="P678" s="3">
        <v>41.265190564789137</v>
      </c>
      <c r="Q678" s="3">
        <v>0.88462206405847954</v>
      </c>
    </row>
    <row r="679" spans="1:17" x14ac:dyDescent="0.3">
      <c r="A679" t="s">
        <v>219</v>
      </c>
      <c r="B679" s="19" t="s">
        <v>220</v>
      </c>
      <c r="C679" s="21" t="s">
        <v>171</v>
      </c>
      <c r="D679" s="24">
        <v>4</v>
      </c>
      <c r="E679" t="s">
        <v>196</v>
      </c>
      <c r="F679">
        <v>0.35</v>
      </c>
      <c r="G679">
        <v>4.0999999999999996</v>
      </c>
      <c r="H679">
        <v>6.75</v>
      </c>
      <c r="I679">
        <v>22.97</v>
      </c>
      <c r="J679">
        <v>2.9499999999999998E-2</v>
      </c>
      <c r="K679">
        <v>7.4909999999999997</v>
      </c>
      <c r="L679">
        <v>0.42099999999999999</v>
      </c>
      <c r="M679">
        <v>0.22</v>
      </c>
      <c r="N679">
        <v>0.42599999999999999</v>
      </c>
      <c r="O679">
        <v>15.41</v>
      </c>
      <c r="P679" s="3">
        <v>37.939150583040337</v>
      </c>
      <c r="Q679" s="3">
        <v>1.6631800640297594</v>
      </c>
    </row>
    <row r="680" spans="1:17" x14ac:dyDescent="0.3">
      <c r="A680" t="s">
        <v>219</v>
      </c>
      <c r="B680" s="19" t="s">
        <v>221</v>
      </c>
      <c r="C680" s="21" t="s">
        <v>171</v>
      </c>
      <c r="D680" s="24">
        <v>4</v>
      </c>
      <c r="E680" t="s">
        <v>196</v>
      </c>
      <c r="F680">
        <v>0.33100000000000002</v>
      </c>
      <c r="G680">
        <v>3.85</v>
      </c>
      <c r="H680">
        <v>6.75</v>
      </c>
      <c r="I680">
        <v>23.08</v>
      </c>
      <c r="J680">
        <v>2.8500000000000001E-2</v>
      </c>
      <c r="K680">
        <v>7.4</v>
      </c>
      <c r="L680">
        <v>0.33</v>
      </c>
      <c r="M680">
        <v>0.22550000000000001</v>
      </c>
      <c r="N680">
        <v>0.42849999999999999</v>
      </c>
      <c r="O680">
        <v>14.55</v>
      </c>
      <c r="P680" s="3">
        <v>37.810015457907539</v>
      </c>
      <c r="Q680" s="3">
        <v>1.7040510297053293</v>
      </c>
    </row>
    <row r="681" spans="1:17" x14ac:dyDescent="0.3">
      <c r="A681" t="s">
        <v>219</v>
      </c>
      <c r="B681" s="19" t="s">
        <v>222</v>
      </c>
      <c r="C681" s="21" t="s">
        <v>171</v>
      </c>
      <c r="D681" s="24">
        <v>4</v>
      </c>
      <c r="E681" t="s">
        <v>196</v>
      </c>
      <c r="F681">
        <v>0.11</v>
      </c>
      <c r="G681">
        <v>3.92</v>
      </c>
      <c r="H681">
        <v>6.4849999999999994</v>
      </c>
      <c r="I681">
        <v>22.66</v>
      </c>
      <c r="J681">
        <v>0.18</v>
      </c>
      <c r="K681">
        <v>7.9489999999999998</v>
      </c>
      <c r="L681">
        <v>0.36</v>
      </c>
      <c r="M681">
        <v>0.6</v>
      </c>
      <c r="N681">
        <v>0.19</v>
      </c>
      <c r="O681">
        <v>14.94</v>
      </c>
      <c r="P681" s="3">
        <v>37.611933836297872</v>
      </c>
      <c r="Q681" s="3">
        <v>4.5812017241563732</v>
      </c>
    </row>
    <row r="682" spans="1:17" x14ac:dyDescent="0.3">
      <c r="A682" t="s">
        <v>223</v>
      </c>
      <c r="B682" s="19" t="s">
        <v>177</v>
      </c>
      <c r="C682" s="21" t="s">
        <v>171</v>
      </c>
      <c r="D682" s="24">
        <v>4</v>
      </c>
      <c r="E682" t="s">
        <v>196</v>
      </c>
      <c r="F682">
        <v>0.21</v>
      </c>
      <c r="G682">
        <v>6.5789999999999997</v>
      </c>
      <c r="H682">
        <v>5.67</v>
      </c>
      <c r="I682">
        <v>22.93</v>
      </c>
      <c r="J682">
        <v>2.1399999999999999E-2</v>
      </c>
      <c r="K682">
        <v>6.15</v>
      </c>
      <c r="L682">
        <v>0.24</v>
      </c>
      <c r="M682">
        <v>0.56000000000000005</v>
      </c>
      <c r="N682">
        <v>0.39</v>
      </c>
      <c r="O682">
        <v>13.6</v>
      </c>
      <c r="P682" s="3">
        <v>52.640313483907292</v>
      </c>
      <c r="Q682" s="3">
        <v>4.8753120248481556</v>
      </c>
    </row>
    <row r="683" spans="1:17" x14ac:dyDescent="0.3">
      <c r="A683" t="s">
        <v>224</v>
      </c>
      <c r="B683" s="19" t="s">
        <v>165</v>
      </c>
      <c r="C683" s="21" t="s">
        <v>171</v>
      </c>
      <c r="D683" s="24">
        <v>4</v>
      </c>
      <c r="E683" t="s">
        <v>196</v>
      </c>
      <c r="F683">
        <v>0.04</v>
      </c>
      <c r="G683">
        <v>4.41</v>
      </c>
      <c r="H683">
        <v>7.4219999999999997</v>
      </c>
      <c r="I683">
        <v>22.1</v>
      </c>
      <c r="J683">
        <v>0.03</v>
      </c>
      <c r="K683">
        <v>8.5060000000000002</v>
      </c>
      <c r="L683">
        <v>0.45</v>
      </c>
      <c r="M683">
        <v>0.12</v>
      </c>
      <c r="N683">
        <v>0.37</v>
      </c>
      <c r="O683">
        <v>14.2</v>
      </c>
      <c r="P683" s="3">
        <v>41.642432810070289</v>
      </c>
      <c r="Q683" s="3">
        <v>0.83202417958104979</v>
      </c>
    </row>
    <row r="684" spans="1:17" x14ac:dyDescent="0.3">
      <c r="A684" t="s">
        <v>224</v>
      </c>
      <c r="B684" s="19" t="s">
        <v>225</v>
      </c>
      <c r="C684" s="21" t="s">
        <v>171</v>
      </c>
      <c r="D684" s="24">
        <v>4</v>
      </c>
      <c r="E684" t="s">
        <v>196</v>
      </c>
      <c r="F684">
        <v>0.11</v>
      </c>
      <c r="G684">
        <v>10.6</v>
      </c>
      <c r="H684">
        <v>3.73</v>
      </c>
      <c r="I684">
        <v>23.36</v>
      </c>
      <c r="J684">
        <v>7.0000000000000001E-3</v>
      </c>
      <c r="K684">
        <v>3.93</v>
      </c>
      <c r="L684">
        <v>0.14000000000000001</v>
      </c>
      <c r="M684">
        <v>0.50970000000000004</v>
      </c>
      <c r="N684">
        <v>0.40119999999999995</v>
      </c>
      <c r="O684">
        <v>13.019999999999998</v>
      </c>
      <c r="P684" s="3">
        <v>65.1642141896357</v>
      </c>
      <c r="Q684" s="3">
        <v>6.6215073257581958</v>
      </c>
    </row>
    <row r="685" spans="1:17" x14ac:dyDescent="0.3">
      <c r="A685" t="s">
        <v>224</v>
      </c>
      <c r="B685" s="19" t="s">
        <v>220</v>
      </c>
      <c r="C685" s="21" t="s">
        <v>171</v>
      </c>
      <c r="D685" s="24">
        <v>4</v>
      </c>
      <c r="E685" t="s">
        <v>196</v>
      </c>
      <c r="F685">
        <v>0.15</v>
      </c>
      <c r="G685">
        <v>10.7</v>
      </c>
      <c r="H685">
        <v>3.68</v>
      </c>
      <c r="I685">
        <v>23.57</v>
      </c>
      <c r="J685">
        <v>8.5000000000000006E-3</v>
      </c>
      <c r="K685">
        <v>4.16</v>
      </c>
      <c r="L685">
        <v>0.14000000000000001</v>
      </c>
      <c r="M685">
        <v>0.51</v>
      </c>
      <c r="N685">
        <v>0.41799999999999998</v>
      </c>
      <c r="O685">
        <v>13.080000000000002</v>
      </c>
      <c r="P685" s="3">
        <v>65.272916330083902</v>
      </c>
      <c r="Q685" s="3">
        <v>6.709122741839467</v>
      </c>
    </row>
    <row r="686" spans="1:17" x14ac:dyDescent="0.3">
      <c r="A686" t="s">
        <v>226</v>
      </c>
      <c r="B686" s="19" t="s">
        <v>177</v>
      </c>
      <c r="C686" s="21" t="s">
        <v>171</v>
      </c>
      <c r="D686" s="24">
        <v>4</v>
      </c>
      <c r="E686" t="s">
        <v>196</v>
      </c>
      <c r="F686">
        <v>0.44</v>
      </c>
      <c r="G686">
        <v>4.3499999999999996</v>
      </c>
      <c r="H686">
        <v>5.7750000000000004</v>
      </c>
      <c r="I686">
        <v>23.51</v>
      </c>
      <c r="J686">
        <v>6.0400000000000002E-2</v>
      </c>
      <c r="K686">
        <v>7.3040000000000003</v>
      </c>
      <c r="L686">
        <v>0.6</v>
      </c>
      <c r="M686">
        <v>0.28399999999999997</v>
      </c>
      <c r="N686">
        <v>0.41</v>
      </c>
      <c r="O686">
        <v>14.52</v>
      </c>
      <c r="P686" s="3">
        <v>40.770685677990862</v>
      </c>
      <c r="Q686" s="3">
        <v>2.4884371226494442</v>
      </c>
    </row>
    <row r="687" spans="1:17" x14ac:dyDescent="0.3">
      <c r="A687" t="s">
        <v>227</v>
      </c>
      <c r="B687" s="19" t="s">
        <v>228</v>
      </c>
      <c r="C687" s="21" t="s">
        <v>171</v>
      </c>
      <c r="D687" s="24">
        <v>4</v>
      </c>
      <c r="E687" t="s">
        <v>196</v>
      </c>
      <c r="F687">
        <v>0.43</v>
      </c>
      <c r="G687">
        <v>3.86</v>
      </c>
      <c r="H687">
        <v>5.05</v>
      </c>
      <c r="I687">
        <v>23.53</v>
      </c>
      <c r="J687">
        <v>6.6000000000000003E-2</v>
      </c>
      <c r="K687">
        <v>7.52</v>
      </c>
      <c r="L687">
        <v>0.56999999999999995</v>
      </c>
      <c r="M687">
        <v>0.2</v>
      </c>
      <c r="N687">
        <v>0.42</v>
      </c>
      <c r="O687">
        <v>15.6</v>
      </c>
      <c r="P687" s="3">
        <v>36.245932327447704</v>
      </c>
      <c r="Q687" s="3">
        <v>2.0137609235447029</v>
      </c>
    </row>
    <row r="688" spans="1:17" x14ac:dyDescent="0.3">
      <c r="A688" t="s">
        <v>227</v>
      </c>
      <c r="B688" s="19" t="s">
        <v>228</v>
      </c>
      <c r="C688" s="21" t="s">
        <v>171</v>
      </c>
      <c r="D688" s="24">
        <v>4</v>
      </c>
      <c r="E688" t="s">
        <v>196</v>
      </c>
      <c r="F688">
        <v>0.35199999999999998</v>
      </c>
      <c r="G688">
        <v>3.66</v>
      </c>
      <c r="H688">
        <v>6.29</v>
      </c>
      <c r="I688">
        <v>23.45</v>
      </c>
      <c r="J688">
        <v>5.1499999999999997E-2</v>
      </c>
      <c r="K688">
        <v>7.61</v>
      </c>
      <c r="L688">
        <v>0.65</v>
      </c>
      <c r="M688">
        <v>0.218</v>
      </c>
      <c r="N688">
        <v>0.40650000000000003</v>
      </c>
      <c r="O688">
        <v>14.72</v>
      </c>
      <c r="P688" s="3">
        <v>36.358307912145662</v>
      </c>
      <c r="Q688" s="3">
        <v>1.7667238799076279</v>
      </c>
    </row>
    <row r="689" spans="1:17" x14ac:dyDescent="0.3">
      <c r="A689" t="s">
        <v>229</v>
      </c>
      <c r="B689" s="19" t="s">
        <v>230</v>
      </c>
      <c r="C689" s="21" t="s">
        <v>171</v>
      </c>
      <c r="D689" s="24">
        <v>4</v>
      </c>
      <c r="E689" t="s">
        <v>196</v>
      </c>
      <c r="F689">
        <v>0.18</v>
      </c>
      <c r="G689">
        <v>6.7960000000000003</v>
      </c>
      <c r="H689">
        <v>5.8339999999999996</v>
      </c>
      <c r="I689">
        <v>22.91</v>
      </c>
      <c r="J689">
        <v>7.0000000000000007E-2</v>
      </c>
      <c r="K689">
        <v>6.17</v>
      </c>
      <c r="L689">
        <v>0.47</v>
      </c>
      <c r="M689">
        <v>0.4</v>
      </c>
      <c r="N689">
        <v>0.45</v>
      </c>
      <c r="O689">
        <v>13.71</v>
      </c>
      <c r="P689" s="3">
        <v>53.248084793173398</v>
      </c>
      <c r="Q689" s="3">
        <v>3.4356933625719983</v>
      </c>
    </row>
    <row r="690" spans="1:17" x14ac:dyDescent="0.3">
      <c r="A690" t="s">
        <v>231</v>
      </c>
      <c r="B690" s="19" t="s">
        <v>232</v>
      </c>
      <c r="C690" s="21" t="s">
        <v>171</v>
      </c>
      <c r="D690" s="24">
        <v>4</v>
      </c>
      <c r="E690" t="s">
        <v>196</v>
      </c>
      <c r="F690">
        <v>0.39</v>
      </c>
      <c r="G690">
        <v>3.4</v>
      </c>
      <c r="H690">
        <v>8.2100000000000009</v>
      </c>
      <c r="I690">
        <v>23.1</v>
      </c>
      <c r="J690">
        <v>7.0000000000000007E-2</v>
      </c>
      <c r="K690">
        <v>8.15</v>
      </c>
      <c r="L690">
        <v>0.44</v>
      </c>
      <c r="M690">
        <v>0.21</v>
      </c>
      <c r="N690">
        <v>0.39</v>
      </c>
      <c r="O690">
        <v>13.4</v>
      </c>
      <c r="P690" s="3">
        <v>36.828497168127861</v>
      </c>
      <c r="Q690" s="3">
        <v>1.3099469942877338</v>
      </c>
    </row>
    <row r="691" spans="1:17" x14ac:dyDescent="0.3">
      <c r="A691" t="s">
        <v>231</v>
      </c>
      <c r="B691" s="19" t="s">
        <v>220</v>
      </c>
      <c r="C691" s="21" t="s">
        <v>171</v>
      </c>
      <c r="D691" s="24">
        <v>4</v>
      </c>
      <c r="E691" t="s">
        <v>196</v>
      </c>
      <c r="F691">
        <v>0.38</v>
      </c>
      <c r="G691">
        <v>4.3099999999999996</v>
      </c>
      <c r="H691">
        <v>6.8029999999999999</v>
      </c>
      <c r="I691">
        <v>22.56</v>
      </c>
      <c r="J691">
        <v>4.1000000000000002E-2</v>
      </c>
      <c r="K691">
        <v>7.327</v>
      </c>
      <c r="L691">
        <v>0.379</v>
      </c>
      <c r="M691">
        <v>0.22</v>
      </c>
      <c r="N691">
        <v>0.45800000000000002</v>
      </c>
      <c r="O691">
        <v>14.84</v>
      </c>
      <c r="P691" s="3">
        <v>40.023394597891532</v>
      </c>
      <c r="Q691" s="3">
        <v>1.6504366114998597</v>
      </c>
    </row>
    <row r="692" spans="1:17" x14ac:dyDescent="0.3">
      <c r="A692" t="s">
        <v>231</v>
      </c>
      <c r="B692" s="19" t="s">
        <v>232</v>
      </c>
      <c r="C692" s="21" t="s">
        <v>171</v>
      </c>
      <c r="D692" s="24">
        <v>4</v>
      </c>
      <c r="E692" t="s">
        <v>196</v>
      </c>
      <c r="F692">
        <v>0.36</v>
      </c>
      <c r="G692">
        <v>3.8</v>
      </c>
      <c r="H692">
        <v>7.41</v>
      </c>
      <c r="I692">
        <v>23.1</v>
      </c>
      <c r="J692">
        <v>0.05</v>
      </c>
      <c r="K692">
        <v>7.65</v>
      </c>
      <c r="L692">
        <v>0.46</v>
      </c>
      <c r="M692">
        <v>0.23</v>
      </c>
      <c r="N692">
        <v>0.42</v>
      </c>
      <c r="O692">
        <v>14.3</v>
      </c>
      <c r="P692" s="3">
        <v>37.910222456444359</v>
      </c>
      <c r="Q692" s="3">
        <v>1.5851647303261318</v>
      </c>
    </row>
    <row r="693" spans="1:17" x14ac:dyDescent="0.3">
      <c r="A693" t="s">
        <v>231</v>
      </c>
      <c r="B693" s="19" t="s">
        <v>221</v>
      </c>
      <c r="C693" s="21" t="s">
        <v>171</v>
      </c>
      <c r="D693" s="24">
        <v>4</v>
      </c>
      <c r="E693" t="s">
        <v>196</v>
      </c>
      <c r="F693">
        <v>0.35299999999999998</v>
      </c>
      <c r="G693">
        <v>4.1500000000000004</v>
      </c>
      <c r="H693">
        <v>6.8</v>
      </c>
      <c r="I693">
        <v>22.82</v>
      </c>
      <c r="J693">
        <v>3.4000000000000002E-2</v>
      </c>
      <c r="K693">
        <v>7.06</v>
      </c>
      <c r="L693">
        <v>0.37</v>
      </c>
      <c r="M693">
        <v>0.23449999999999999</v>
      </c>
      <c r="N693">
        <v>0.46050000000000002</v>
      </c>
      <c r="O693">
        <v>14.91</v>
      </c>
      <c r="P693" s="3">
        <v>39.006811981533779</v>
      </c>
      <c r="Q693" s="3">
        <v>1.7580654657205559</v>
      </c>
    </row>
    <row r="694" spans="1:17" x14ac:dyDescent="0.3">
      <c r="A694" t="s">
        <v>231</v>
      </c>
      <c r="B694" s="19" t="s">
        <v>222</v>
      </c>
      <c r="C694" s="21" t="s">
        <v>171</v>
      </c>
      <c r="D694" s="24">
        <v>4</v>
      </c>
      <c r="E694" t="s">
        <v>196</v>
      </c>
      <c r="F694">
        <v>0.68</v>
      </c>
      <c r="G694">
        <v>4.12</v>
      </c>
      <c r="H694">
        <v>7.38</v>
      </c>
      <c r="I694">
        <v>22.66</v>
      </c>
      <c r="J694">
        <v>0.11</v>
      </c>
      <c r="K694">
        <v>6.16</v>
      </c>
      <c r="L694">
        <v>0.04</v>
      </c>
      <c r="M694">
        <v>0.04</v>
      </c>
      <c r="N694">
        <v>0.6</v>
      </c>
      <c r="O694">
        <v>15.55</v>
      </c>
      <c r="P694" s="3">
        <v>37.840832473512769</v>
      </c>
      <c r="Q694" s="3">
        <v>0.2804710566592698</v>
      </c>
    </row>
    <row r="695" spans="1:17" x14ac:dyDescent="0.3">
      <c r="A695" t="s">
        <v>233</v>
      </c>
      <c r="B695" s="19" t="s">
        <v>234</v>
      </c>
      <c r="C695" s="21" t="s">
        <v>171</v>
      </c>
      <c r="D695" s="24">
        <v>4</v>
      </c>
      <c r="E695" t="s">
        <v>196</v>
      </c>
      <c r="F695">
        <v>0.36</v>
      </c>
      <c r="G695">
        <v>3.8</v>
      </c>
      <c r="H695">
        <v>6.6120000000000001</v>
      </c>
      <c r="I695">
        <v>23.16</v>
      </c>
      <c r="J695">
        <v>0.03</v>
      </c>
      <c r="K695">
        <v>7.4409999999999998</v>
      </c>
      <c r="L695">
        <v>0.44</v>
      </c>
      <c r="M695">
        <v>0.23</v>
      </c>
      <c r="N695">
        <v>0.43</v>
      </c>
      <c r="O695">
        <v>14.68</v>
      </c>
      <c r="P695" s="3">
        <v>37.29488000528638</v>
      </c>
      <c r="Q695" s="3">
        <v>1.7730855720915084</v>
      </c>
    </row>
    <row r="696" spans="1:17" x14ac:dyDescent="0.3">
      <c r="A696" t="s">
        <v>235</v>
      </c>
      <c r="B696" s="19" t="s">
        <v>222</v>
      </c>
      <c r="C696" s="21" t="s">
        <v>171</v>
      </c>
      <c r="D696" s="24">
        <v>4</v>
      </c>
      <c r="E696" t="s">
        <v>196</v>
      </c>
      <c r="F696">
        <v>0.39</v>
      </c>
      <c r="G696">
        <v>4.21</v>
      </c>
      <c r="H696">
        <v>7.1150000000000002</v>
      </c>
      <c r="I696">
        <v>22.81</v>
      </c>
      <c r="J696">
        <v>0.1</v>
      </c>
      <c r="K696">
        <v>8.2059999999999995</v>
      </c>
      <c r="L696">
        <v>0.43</v>
      </c>
      <c r="M696">
        <v>0.14000000000000001</v>
      </c>
      <c r="N696">
        <v>0.49</v>
      </c>
      <c r="O696">
        <v>14.51</v>
      </c>
      <c r="P696" s="3">
        <v>39.999702266010857</v>
      </c>
      <c r="Q696" s="3">
        <v>1.0107537273931793</v>
      </c>
    </row>
    <row r="697" spans="1:17" x14ac:dyDescent="0.3">
      <c r="A697" t="s">
        <v>235</v>
      </c>
      <c r="B697" s="19" t="s">
        <v>236</v>
      </c>
      <c r="C697" s="21" t="s">
        <v>171</v>
      </c>
      <c r="D697" s="24">
        <v>4</v>
      </c>
      <c r="E697" t="s">
        <v>196</v>
      </c>
      <c r="F697">
        <v>0.37</v>
      </c>
      <c r="G697">
        <v>4.2</v>
      </c>
      <c r="H697">
        <v>6.9</v>
      </c>
      <c r="I697">
        <v>22.9</v>
      </c>
      <c r="J697">
        <v>0.05</v>
      </c>
      <c r="K697">
        <v>7.6</v>
      </c>
      <c r="L697">
        <v>0.46</v>
      </c>
      <c r="M697">
        <v>0.23</v>
      </c>
      <c r="N697">
        <v>0.45</v>
      </c>
      <c r="O697">
        <v>14.7</v>
      </c>
      <c r="P697" s="3">
        <v>39.630976669919278</v>
      </c>
      <c r="Q697" s="3">
        <v>1.700336891298676</v>
      </c>
    </row>
    <row r="698" spans="1:17" x14ac:dyDescent="0.3">
      <c r="A698" t="s">
        <v>237</v>
      </c>
      <c r="B698" s="19" t="s">
        <v>177</v>
      </c>
      <c r="C698" s="21" t="s">
        <v>171</v>
      </c>
      <c r="D698" s="24">
        <v>4</v>
      </c>
      <c r="E698" t="s">
        <v>196</v>
      </c>
      <c r="F698">
        <v>0.3</v>
      </c>
      <c r="G698">
        <v>5.99</v>
      </c>
      <c r="H698">
        <v>5.5279999999999996</v>
      </c>
      <c r="I698">
        <v>23.18</v>
      </c>
      <c r="J698">
        <v>4.0399999999999998E-2</v>
      </c>
      <c r="K698">
        <v>6.35</v>
      </c>
      <c r="L698">
        <v>0.33</v>
      </c>
      <c r="M698">
        <v>0.29199999999999998</v>
      </c>
      <c r="N698">
        <v>0.41</v>
      </c>
      <c r="O698">
        <v>14.26</v>
      </c>
      <c r="P698" s="3">
        <v>49.113365517015573</v>
      </c>
      <c r="Q698" s="3">
        <v>2.6679332836666463</v>
      </c>
    </row>
    <row r="699" spans="1:17" x14ac:dyDescent="0.3">
      <c r="A699" t="s">
        <v>238</v>
      </c>
      <c r="B699" s="19" t="s">
        <v>177</v>
      </c>
      <c r="C699" s="21" t="s">
        <v>171</v>
      </c>
      <c r="D699" s="24">
        <v>4</v>
      </c>
      <c r="E699" t="s">
        <v>196</v>
      </c>
      <c r="F699">
        <v>0.32</v>
      </c>
      <c r="G699">
        <v>6.4819999999999993</v>
      </c>
      <c r="H699">
        <v>5.9530000000000003</v>
      </c>
      <c r="I699">
        <v>23.55</v>
      </c>
      <c r="J699">
        <v>4.2200000000000001E-2</v>
      </c>
      <c r="K699">
        <v>6.3</v>
      </c>
      <c r="L699">
        <v>0.4</v>
      </c>
      <c r="M699">
        <v>0.38100000000000001</v>
      </c>
      <c r="N699">
        <v>0.42</v>
      </c>
      <c r="O699">
        <v>13.43</v>
      </c>
      <c r="P699" s="3">
        <v>52.583596909393712</v>
      </c>
      <c r="Q699" s="3">
        <v>3.2144295374728045</v>
      </c>
    </row>
    <row r="700" spans="1:17" x14ac:dyDescent="0.3">
      <c r="A700" t="s">
        <v>239</v>
      </c>
      <c r="B700" s="19" t="s">
        <v>195</v>
      </c>
      <c r="C700" s="21" t="s">
        <v>171</v>
      </c>
      <c r="D700" s="24">
        <v>4</v>
      </c>
      <c r="E700" t="s">
        <v>196</v>
      </c>
      <c r="F700">
        <v>0.32700000000000001</v>
      </c>
      <c r="G700">
        <v>3.97</v>
      </c>
      <c r="H700">
        <v>6.25</v>
      </c>
      <c r="I700">
        <v>23.7</v>
      </c>
      <c r="J700">
        <v>3.09E-2</v>
      </c>
      <c r="K700">
        <v>6.6749999999999998</v>
      </c>
      <c r="L700">
        <v>0.37</v>
      </c>
      <c r="M700">
        <v>0.22</v>
      </c>
      <c r="N700">
        <v>0.441</v>
      </c>
      <c r="O700">
        <v>15.7</v>
      </c>
      <c r="P700" s="3">
        <v>36.749074641407745</v>
      </c>
      <c r="Q700" s="3">
        <v>1.7938476757983051</v>
      </c>
    </row>
    <row r="701" spans="1:17" x14ac:dyDescent="0.3">
      <c r="A701" t="s">
        <v>240</v>
      </c>
      <c r="B701" s="19" t="s">
        <v>177</v>
      </c>
      <c r="C701" s="21" t="s">
        <v>171</v>
      </c>
      <c r="D701" s="24">
        <v>4</v>
      </c>
      <c r="E701" t="s">
        <v>196</v>
      </c>
      <c r="F701">
        <v>0.31</v>
      </c>
      <c r="G701">
        <v>6.0730000000000004</v>
      </c>
      <c r="H701">
        <v>5.8579999999999997</v>
      </c>
      <c r="I701">
        <v>23.23</v>
      </c>
      <c r="J701">
        <v>0.1305</v>
      </c>
      <c r="K701">
        <v>6.57</v>
      </c>
      <c r="L701">
        <v>0.33</v>
      </c>
      <c r="M701">
        <v>0.28100000000000003</v>
      </c>
      <c r="N701">
        <v>0.38</v>
      </c>
      <c r="O701">
        <v>13.31</v>
      </c>
      <c r="P701" s="3">
        <v>51.180655240574929</v>
      </c>
      <c r="Q701" s="3">
        <v>2.4287511494772587</v>
      </c>
    </row>
    <row r="702" spans="1:17" x14ac:dyDescent="0.3">
      <c r="A702" t="s">
        <v>240</v>
      </c>
      <c r="B702" s="19" t="s">
        <v>177</v>
      </c>
      <c r="C702" s="21" t="s">
        <v>171</v>
      </c>
      <c r="D702" s="24">
        <v>4</v>
      </c>
      <c r="E702" t="s">
        <v>196</v>
      </c>
      <c r="F702">
        <v>0.26</v>
      </c>
      <c r="G702">
        <v>6.7039999999999997</v>
      </c>
      <c r="H702">
        <v>5.03</v>
      </c>
      <c r="I702">
        <v>23.77</v>
      </c>
      <c r="J702">
        <v>0.1305</v>
      </c>
      <c r="K702">
        <v>5.82</v>
      </c>
      <c r="L702">
        <v>0.34</v>
      </c>
      <c r="M702">
        <v>0.30599999999999999</v>
      </c>
      <c r="N702">
        <v>0.38</v>
      </c>
      <c r="O702">
        <v>13.61</v>
      </c>
      <c r="P702" s="3">
        <v>53.090989648498066</v>
      </c>
      <c r="Q702" s="3">
        <v>3.0602679861091677</v>
      </c>
    </row>
    <row r="703" spans="1:17" x14ac:dyDescent="0.3">
      <c r="A703" t="s">
        <v>240</v>
      </c>
      <c r="B703" s="19" t="s">
        <v>177</v>
      </c>
      <c r="C703" s="21" t="s">
        <v>171</v>
      </c>
      <c r="D703" s="24">
        <v>4</v>
      </c>
      <c r="E703" t="s">
        <v>196</v>
      </c>
      <c r="F703">
        <v>0.23</v>
      </c>
      <c r="G703">
        <v>7.9809999999999999</v>
      </c>
      <c r="H703">
        <v>4.83</v>
      </c>
      <c r="I703">
        <v>23.32</v>
      </c>
      <c r="J703">
        <v>6.88E-2</v>
      </c>
      <c r="K703">
        <v>5.07</v>
      </c>
      <c r="L703">
        <v>0.28000000000000003</v>
      </c>
      <c r="M703">
        <v>0.34699999999999998</v>
      </c>
      <c r="N703">
        <v>0.39</v>
      </c>
      <c r="O703">
        <v>14.44</v>
      </c>
      <c r="P703" s="3">
        <v>55.945721575961699</v>
      </c>
      <c r="Q703" s="3">
        <v>3.5941000301746495</v>
      </c>
    </row>
    <row r="704" spans="1:17" x14ac:dyDescent="0.3">
      <c r="A704" t="s">
        <v>241</v>
      </c>
      <c r="B704" s="19" t="s">
        <v>177</v>
      </c>
      <c r="C704" s="21" t="s">
        <v>171</v>
      </c>
      <c r="D704" s="24">
        <v>4</v>
      </c>
      <c r="E704" t="s">
        <v>196</v>
      </c>
      <c r="F704">
        <v>0.35</v>
      </c>
      <c r="G704">
        <v>3.88</v>
      </c>
      <c r="H704">
        <v>7.1120000000000001</v>
      </c>
      <c r="I704">
        <v>23.64</v>
      </c>
      <c r="J704">
        <v>3.3000000000000002E-2</v>
      </c>
      <c r="K704">
        <v>7.8609999999999998</v>
      </c>
      <c r="L704">
        <v>0.34</v>
      </c>
      <c r="M704">
        <v>0.23400000000000001</v>
      </c>
      <c r="N704">
        <v>0.38</v>
      </c>
      <c r="O704">
        <v>12.8</v>
      </c>
      <c r="P704" s="3">
        <v>41.054517522934631</v>
      </c>
      <c r="Q704" s="3">
        <v>1.6787107706498332</v>
      </c>
    </row>
    <row r="705" spans="1:17" x14ac:dyDescent="0.3">
      <c r="A705" t="s">
        <v>241</v>
      </c>
      <c r="B705" s="19" t="s">
        <v>177</v>
      </c>
      <c r="C705" s="21" t="s">
        <v>171</v>
      </c>
      <c r="D705" s="24">
        <v>4</v>
      </c>
      <c r="E705" t="s">
        <v>196</v>
      </c>
      <c r="F705">
        <v>0.35</v>
      </c>
      <c r="G705">
        <v>4.21</v>
      </c>
      <c r="H705">
        <v>7.4009999999999998</v>
      </c>
      <c r="I705">
        <v>23.28</v>
      </c>
      <c r="J705">
        <v>2.9000000000000001E-2</v>
      </c>
      <c r="K705">
        <v>6.99</v>
      </c>
      <c r="L705">
        <v>0.34</v>
      </c>
      <c r="M705">
        <v>0.26700000000000002</v>
      </c>
      <c r="N705">
        <v>0.47</v>
      </c>
      <c r="O705">
        <v>13.53</v>
      </c>
      <c r="P705" s="3">
        <v>41.689110869129252</v>
      </c>
      <c r="Q705" s="3">
        <v>1.837679939006178</v>
      </c>
    </row>
    <row r="706" spans="1:17" x14ac:dyDescent="0.3">
      <c r="A706" t="s">
        <v>242</v>
      </c>
      <c r="B706" s="19" t="s">
        <v>243</v>
      </c>
      <c r="C706" s="21" t="s">
        <v>171</v>
      </c>
      <c r="D706" s="24">
        <v>4</v>
      </c>
      <c r="E706" t="s">
        <v>196</v>
      </c>
      <c r="F706">
        <v>0.39</v>
      </c>
      <c r="G706">
        <v>4.55</v>
      </c>
      <c r="H706">
        <v>6.52</v>
      </c>
      <c r="I706">
        <v>21.63</v>
      </c>
      <c r="J706">
        <v>0.05</v>
      </c>
      <c r="K706">
        <v>6.95</v>
      </c>
      <c r="L706">
        <v>0.4</v>
      </c>
      <c r="M706">
        <v>0.24</v>
      </c>
      <c r="N706">
        <v>0.38500000000000001</v>
      </c>
      <c r="O706">
        <v>13.31</v>
      </c>
      <c r="P706" s="3">
        <v>43.991907468615949</v>
      </c>
      <c r="Q706" s="3">
        <v>1.874348750295233</v>
      </c>
    </row>
    <row r="707" spans="1:17" x14ac:dyDescent="0.3">
      <c r="A707" t="s">
        <v>244</v>
      </c>
      <c r="B707" s="19" t="s">
        <v>177</v>
      </c>
      <c r="C707" s="21" t="s">
        <v>171</v>
      </c>
      <c r="D707" s="24">
        <v>4</v>
      </c>
      <c r="E707" t="s">
        <v>196</v>
      </c>
      <c r="F707">
        <v>0.37</v>
      </c>
      <c r="G707">
        <v>4.0599999999999996</v>
      </c>
      <c r="H707">
        <v>7.7149999999999999</v>
      </c>
      <c r="I707">
        <v>22.44</v>
      </c>
      <c r="J707">
        <v>3.9E-2</v>
      </c>
      <c r="K707">
        <v>7.3339999999999996</v>
      </c>
      <c r="L707">
        <v>0.23</v>
      </c>
      <c r="M707">
        <v>0.222</v>
      </c>
      <c r="N707">
        <v>0.46</v>
      </c>
      <c r="O707">
        <v>14.18</v>
      </c>
      <c r="P707" s="3">
        <v>39.681550979775821</v>
      </c>
      <c r="Q707" s="3">
        <v>1.4712424703629088</v>
      </c>
    </row>
    <row r="708" spans="1:17" x14ac:dyDescent="0.3">
      <c r="A708" t="s">
        <v>245</v>
      </c>
      <c r="B708" s="19" t="s">
        <v>177</v>
      </c>
      <c r="C708" s="21" t="s">
        <v>171</v>
      </c>
      <c r="D708" s="24">
        <v>4</v>
      </c>
      <c r="E708" t="s">
        <v>196</v>
      </c>
      <c r="F708">
        <v>0.13300000000000001</v>
      </c>
      <c r="G708">
        <v>8.1029999999999998</v>
      </c>
      <c r="H708">
        <v>3.1</v>
      </c>
      <c r="I708">
        <v>23.16</v>
      </c>
      <c r="J708">
        <v>1.24E-2</v>
      </c>
      <c r="K708">
        <v>4.92</v>
      </c>
      <c r="L708">
        <v>0.13</v>
      </c>
      <c r="M708">
        <v>0.76</v>
      </c>
      <c r="N708">
        <v>0.51</v>
      </c>
      <c r="O708">
        <v>16.329999999999998</v>
      </c>
      <c r="P708" s="3">
        <v>53.273519808572196</v>
      </c>
      <c r="Q708" s="3">
        <v>11.286189433306298</v>
      </c>
    </row>
    <row r="709" spans="1:17" x14ac:dyDescent="0.3">
      <c r="A709" t="s">
        <v>245</v>
      </c>
      <c r="B709" s="19" t="s">
        <v>177</v>
      </c>
      <c r="C709" s="21" t="s">
        <v>171</v>
      </c>
      <c r="D709" s="24">
        <v>4</v>
      </c>
      <c r="E709" t="s">
        <v>196</v>
      </c>
      <c r="F709">
        <v>0.11899999999999999</v>
      </c>
      <c r="G709">
        <v>8.4169999999999998</v>
      </c>
      <c r="H709">
        <v>3.22</v>
      </c>
      <c r="I709">
        <v>23.22</v>
      </c>
      <c r="J709">
        <v>1.0699999999999999E-2</v>
      </c>
      <c r="K709">
        <v>4.66</v>
      </c>
      <c r="L709">
        <v>0.13</v>
      </c>
      <c r="M709">
        <v>0.8</v>
      </c>
      <c r="N709">
        <v>0.53</v>
      </c>
      <c r="O709">
        <v>16.38</v>
      </c>
      <c r="P709" s="3">
        <v>54.14273834772311</v>
      </c>
      <c r="Q709" s="3">
        <v>11.420183784456411</v>
      </c>
    </row>
    <row r="710" spans="1:17" x14ac:dyDescent="0.3">
      <c r="A710" t="s">
        <v>246</v>
      </c>
      <c r="B710" s="19" t="s">
        <v>177</v>
      </c>
      <c r="C710" s="21" t="s">
        <v>171</v>
      </c>
      <c r="D710" s="24">
        <v>4</v>
      </c>
      <c r="E710" t="s">
        <v>196</v>
      </c>
      <c r="F710">
        <v>0.312</v>
      </c>
      <c r="G710">
        <v>3.87</v>
      </c>
      <c r="H710">
        <v>6.8220000000000001</v>
      </c>
      <c r="I710">
        <v>23.07</v>
      </c>
      <c r="J710">
        <v>2.4E-2</v>
      </c>
      <c r="K710">
        <v>7.3390000000000004</v>
      </c>
      <c r="L710">
        <v>0.39</v>
      </c>
      <c r="M710">
        <v>0.23799999999999999</v>
      </c>
      <c r="N710">
        <v>0.43</v>
      </c>
      <c r="O710">
        <v>14.43</v>
      </c>
      <c r="P710" s="3">
        <v>38.127100124849761</v>
      </c>
      <c r="Q710" s="3">
        <v>1.7781868397566374</v>
      </c>
    </row>
    <row r="711" spans="1:17" x14ac:dyDescent="0.3">
      <c r="A711" t="s">
        <v>247</v>
      </c>
      <c r="B711" s="19" t="s">
        <v>207</v>
      </c>
      <c r="C711" s="21" t="s">
        <v>171</v>
      </c>
      <c r="D711" s="24">
        <v>4</v>
      </c>
      <c r="E711" t="s">
        <v>196</v>
      </c>
      <c r="F711">
        <v>0.39400000000000002</v>
      </c>
      <c r="G711">
        <v>5.39</v>
      </c>
      <c r="H711">
        <v>5.82</v>
      </c>
      <c r="I711">
        <v>21.3</v>
      </c>
      <c r="J711">
        <v>5.2999999999999999E-2</v>
      </c>
      <c r="K711">
        <v>6.04</v>
      </c>
      <c r="L711">
        <v>0.39400000000000002</v>
      </c>
      <c r="M711">
        <v>0.20599999999999999</v>
      </c>
      <c r="N711">
        <v>0.86699999999999999</v>
      </c>
      <c r="O711">
        <v>15</v>
      </c>
      <c r="P711" s="3">
        <v>45.224428845507646</v>
      </c>
      <c r="Q711" s="3">
        <v>1.803615407987718</v>
      </c>
    </row>
    <row r="712" spans="1:17" x14ac:dyDescent="0.3">
      <c r="A712" t="s">
        <v>248</v>
      </c>
      <c r="B712" s="19" t="s">
        <v>177</v>
      </c>
      <c r="C712" s="21" t="s">
        <v>171</v>
      </c>
      <c r="D712" s="24">
        <v>4</v>
      </c>
      <c r="E712" t="s">
        <v>196</v>
      </c>
      <c r="F712">
        <v>0.26</v>
      </c>
      <c r="G712">
        <v>4.2</v>
      </c>
      <c r="H712">
        <v>7.11</v>
      </c>
      <c r="I712">
        <v>22.92</v>
      </c>
      <c r="J712">
        <v>2.5399999999999999E-2</v>
      </c>
      <c r="K712">
        <v>7.2640000000000002</v>
      </c>
      <c r="L712">
        <v>0.31</v>
      </c>
      <c r="M712">
        <v>0.19400000000000001</v>
      </c>
      <c r="N712">
        <v>0.43</v>
      </c>
      <c r="O712">
        <v>14.19</v>
      </c>
      <c r="P712" s="3">
        <v>40.478778579791992</v>
      </c>
      <c r="Q712" s="3">
        <v>1.3961440525922566</v>
      </c>
    </row>
    <row r="713" spans="1:17" x14ac:dyDescent="0.3">
      <c r="A713" t="s">
        <v>249</v>
      </c>
      <c r="B713" s="19" t="s">
        <v>177</v>
      </c>
      <c r="C713" s="21" t="s">
        <v>171</v>
      </c>
      <c r="D713" s="24">
        <v>4</v>
      </c>
      <c r="E713" t="s">
        <v>196</v>
      </c>
      <c r="F713">
        <v>0.28000000000000003</v>
      </c>
      <c r="G713">
        <v>6.03</v>
      </c>
      <c r="H713">
        <v>6.02</v>
      </c>
      <c r="I713">
        <v>22.96</v>
      </c>
      <c r="J713">
        <v>1.7500000000000002E-2</v>
      </c>
      <c r="K713">
        <v>6.48</v>
      </c>
      <c r="L713">
        <v>0.24</v>
      </c>
      <c r="M713">
        <v>0.21099999999999999</v>
      </c>
      <c r="N713">
        <v>0.41</v>
      </c>
      <c r="O713">
        <v>14.23</v>
      </c>
      <c r="P713" s="3">
        <v>49.332352288400848</v>
      </c>
      <c r="Q713" s="3">
        <v>1.7863316758156673</v>
      </c>
    </row>
    <row r="714" spans="1:17" x14ac:dyDescent="0.3">
      <c r="A714" t="s">
        <v>249</v>
      </c>
      <c r="B714" s="19" t="s">
        <v>207</v>
      </c>
      <c r="C714" s="21" t="s">
        <v>171</v>
      </c>
      <c r="D714" s="24">
        <v>4</v>
      </c>
      <c r="E714" t="s">
        <v>196</v>
      </c>
      <c r="F714">
        <v>0.33100000000000002</v>
      </c>
      <c r="G714">
        <v>5.6</v>
      </c>
      <c r="H714">
        <v>5.98</v>
      </c>
      <c r="I714">
        <v>22.3</v>
      </c>
      <c r="J714">
        <v>2.0799999999999999E-2</v>
      </c>
      <c r="K714">
        <v>6.43</v>
      </c>
      <c r="L714">
        <v>0.26</v>
      </c>
      <c r="M714">
        <v>0.21199999999999999</v>
      </c>
      <c r="N714">
        <v>0.89100000000000001</v>
      </c>
      <c r="O714">
        <v>14.3</v>
      </c>
      <c r="P714" s="3">
        <v>47.362574370336823</v>
      </c>
      <c r="Q714" s="3">
        <v>1.8064332370194323</v>
      </c>
    </row>
    <row r="715" spans="1:17" x14ac:dyDescent="0.3">
      <c r="A715" t="s">
        <v>249</v>
      </c>
      <c r="B715" s="19" t="s">
        <v>177</v>
      </c>
      <c r="C715" s="21" t="s">
        <v>171</v>
      </c>
      <c r="D715" s="24">
        <v>4</v>
      </c>
      <c r="E715" t="s">
        <v>196</v>
      </c>
      <c r="F715">
        <v>0.3</v>
      </c>
      <c r="G715">
        <v>6.0279999999999996</v>
      </c>
      <c r="H715">
        <v>6.0270000000000001</v>
      </c>
      <c r="I715">
        <v>22.96</v>
      </c>
      <c r="J715">
        <v>2.2599999999999999E-2</v>
      </c>
      <c r="K715">
        <v>6.4900000000000011</v>
      </c>
      <c r="L715">
        <v>0.25</v>
      </c>
      <c r="M715">
        <v>0.23200000000000001</v>
      </c>
      <c r="N715">
        <v>0.42</v>
      </c>
      <c r="O715">
        <v>14.49</v>
      </c>
      <c r="P715" s="3">
        <v>48.871552401202123</v>
      </c>
      <c r="Q715" s="3">
        <v>1.9583999380102062</v>
      </c>
    </row>
    <row r="716" spans="1:17" x14ac:dyDescent="0.3">
      <c r="A716" t="s">
        <v>250</v>
      </c>
      <c r="B716" s="19" t="s">
        <v>177</v>
      </c>
      <c r="C716" s="21" t="s">
        <v>171</v>
      </c>
      <c r="D716" s="24">
        <v>4</v>
      </c>
      <c r="E716" t="s">
        <v>196</v>
      </c>
      <c r="F716">
        <v>0.15</v>
      </c>
      <c r="G716">
        <v>5.73</v>
      </c>
      <c r="H716">
        <v>6.1360000000000001</v>
      </c>
      <c r="I716">
        <v>24.03</v>
      </c>
      <c r="J716">
        <v>1.1299999999999999E-2</v>
      </c>
      <c r="K716">
        <v>6.5400000000000009</v>
      </c>
      <c r="L716">
        <v>0.36</v>
      </c>
      <c r="M716">
        <v>0.254</v>
      </c>
      <c r="N716">
        <v>0.41</v>
      </c>
      <c r="O716">
        <v>12.21</v>
      </c>
      <c r="P716" s="3">
        <v>51.883062650880191</v>
      </c>
      <c r="Q716" s="3">
        <v>2.1029178920545668</v>
      </c>
    </row>
    <row r="717" spans="1:17" x14ac:dyDescent="0.3">
      <c r="A717" t="s">
        <v>250</v>
      </c>
      <c r="B717" s="19" t="s">
        <v>177</v>
      </c>
      <c r="C717" s="21" t="s">
        <v>171</v>
      </c>
      <c r="D717" s="24">
        <v>4</v>
      </c>
      <c r="E717" t="s">
        <v>196</v>
      </c>
      <c r="F717">
        <v>0.28000000000000003</v>
      </c>
      <c r="G717">
        <v>6.444</v>
      </c>
      <c r="H717">
        <v>5.6479999999999997</v>
      </c>
      <c r="I717">
        <v>23.13</v>
      </c>
      <c r="J717">
        <v>5.6000000000000001E-2</v>
      </c>
      <c r="K717">
        <v>6.81</v>
      </c>
      <c r="L717">
        <v>0.36</v>
      </c>
      <c r="M717">
        <v>0.27800000000000002</v>
      </c>
      <c r="N717">
        <v>0.41</v>
      </c>
      <c r="O717">
        <v>13.22</v>
      </c>
      <c r="P717" s="3">
        <v>52.829885929254715</v>
      </c>
      <c r="Q717" s="3">
        <v>2.4905821677993591</v>
      </c>
    </row>
    <row r="718" spans="1:17" x14ac:dyDescent="0.3">
      <c r="A718" t="s">
        <v>251</v>
      </c>
      <c r="B718" s="19" t="s">
        <v>177</v>
      </c>
      <c r="C718" s="21" t="s">
        <v>171</v>
      </c>
      <c r="D718" s="24">
        <v>4</v>
      </c>
      <c r="E718" t="s">
        <v>196</v>
      </c>
      <c r="F718">
        <v>0.28999999999999998</v>
      </c>
      <c r="G718">
        <v>5.05</v>
      </c>
      <c r="H718">
        <v>6.448999999999999</v>
      </c>
      <c r="I718">
        <v>22.85</v>
      </c>
      <c r="J718">
        <v>3.2500000000000001E-2</v>
      </c>
      <c r="K718">
        <v>6.88</v>
      </c>
      <c r="L718">
        <v>0.3</v>
      </c>
      <c r="M718">
        <v>0.26900000000000002</v>
      </c>
      <c r="N718">
        <v>0.41</v>
      </c>
      <c r="O718">
        <v>14.31</v>
      </c>
      <c r="P718" s="3">
        <v>44.777308438672655</v>
      </c>
      <c r="Q718" s="3">
        <v>2.1186731071292408</v>
      </c>
    </row>
    <row r="719" spans="1:17" x14ac:dyDescent="0.3">
      <c r="A719" t="s">
        <v>252</v>
      </c>
      <c r="B719" s="19" t="s">
        <v>177</v>
      </c>
      <c r="C719" s="21" t="s">
        <v>171</v>
      </c>
      <c r="D719" s="24">
        <v>4</v>
      </c>
      <c r="E719" t="s">
        <v>196</v>
      </c>
      <c r="F719">
        <v>0.29899999999999999</v>
      </c>
      <c r="G719">
        <v>4.18</v>
      </c>
      <c r="H719">
        <v>6.4589999999999996</v>
      </c>
      <c r="I719">
        <v>23.34</v>
      </c>
      <c r="J719">
        <v>3.1099999999999999E-2</v>
      </c>
      <c r="K719">
        <v>7.04</v>
      </c>
      <c r="L719">
        <v>0.39</v>
      </c>
      <c r="M719">
        <v>0.23699999999999999</v>
      </c>
      <c r="N719">
        <v>0.38</v>
      </c>
      <c r="O719">
        <v>14.21</v>
      </c>
      <c r="P719" s="3">
        <v>40.329927385878676</v>
      </c>
      <c r="Q719" s="3">
        <v>1.868510975108242</v>
      </c>
    </row>
    <row r="720" spans="1:17" x14ac:dyDescent="0.3">
      <c r="A720" t="s">
        <v>253</v>
      </c>
      <c r="B720" s="19" t="s">
        <v>177</v>
      </c>
      <c r="C720" s="21" t="s">
        <v>171</v>
      </c>
      <c r="D720" s="24">
        <v>4</v>
      </c>
      <c r="E720" t="s">
        <v>196</v>
      </c>
      <c r="F720">
        <v>0.32500000000000001</v>
      </c>
      <c r="G720">
        <v>4.21</v>
      </c>
      <c r="H720">
        <v>5.9530000000000003</v>
      </c>
      <c r="I720">
        <v>23.56</v>
      </c>
      <c r="J720">
        <v>2.9399999999999999E-2</v>
      </c>
      <c r="K720">
        <v>7</v>
      </c>
      <c r="L720">
        <v>0.31</v>
      </c>
      <c r="M720">
        <v>0.20899999999999999</v>
      </c>
      <c r="N720">
        <v>0.43</v>
      </c>
      <c r="O720">
        <v>15.14</v>
      </c>
      <c r="P720" s="3">
        <v>38.984121893898404</v>
      </c>
      <c r="Q720" s="3">
        <v>1.7892605530807224</v>
      </c>
    </row>
    <row r="721" spans="1:17" x14ac:dyDescent="0.3">
      <c r="A721" t="s">
        <v>254</v>
      </c>
      <c r="B721" s="19" t="s">
        <v>177</v>
      </c>
      <c r="C721" s="21" t="s">
        <v>171</v>
      </c>
      <c r="D721" s="24">
        <v>4</v>
      </c>
      <c r="E721" t="s">
        <v>196</v>
      </c>
      <c r="F721">
        <v>0.38</v>
      </c>
      <c r="G721">
        <v>4.01</v>
      </c>
      <c r="H721">
        <v>7.05</v>
      </c>
      <c r="I721">
        <v>22.9</v>
      </c>
      <c r="J721">
        <v>3.7100000000000001E-2</v>
      </c>
      <c r="K721">
        <v>7.319</v>
      </c>
      <c r="L721">
        <v>0.31</v>
      </c>
      <c r="M721">
        <v>0.14399999999999999</v>
      </c>
      <c r="N721">
        <v>0.4</v>
      </c>
      <c r="O721">
        <v>14.35</v>
      </c>
      <c r="P721" s="3">
        <v>39.101188513941999</v>
      </c>
      <c r="Q721" s="3">
        <v>1.0488142533320608</v>
      </c>
    </row>
    <row r="722" spans="1:17" x14ac:dyDescent="0.3">
      <c r="A722" t="s">
        <v>254</v>
      </c>
      <c r="B722" s="19" t="s">
        <v>177</v>
      </c>
      <c r="C722" s="21" t="s">
        <v>171</v>
      </c>
      <c r="D722" s="24">
        <v>4</v>
      </c>
      <c r="E722" t="s">
        <v>196</v>
      </c>
      <c r="F722">
        <v>0.38</v>
      </c>
      <c r="G722">
        <v>4.03</v>
      </c>
      <c r="H722">
        <v>6.9859999999999998</v>
      </c>
      <c r="I722">
        <v>22.9</v>
      </c>
      <c r="J722">
        <v>3.5200000000000002E-2</v>
      </c>
      <c r="K722">
        <v>7.3440000000000003</v>
      </c>
      <c r="L722">
        <v>0.28000000000000003</v>
      </c>
      <c r="M722">
        <v>0.14499999999999999</v>
      </c>
      <c r="N722">
        <v>0.41</v>
      </c>
      <c r="O722">
        <v>14.36</v>
      </c>
      <c r="P722" s="3">
        <v>39.203116525771932</v>
      </c>
      <c r="Q722" s="3">
        <v>1.0655920773347938</v>
      </c>
    </row>
    <row r="723" spans="1:17" x14ac:dyDescent="0.3">
      <c r="A723" t="s">
        <v>255</v>
      </c>
      <c r="B723" s="19" t="s">
        <v>256</v>
      </c>
      <c r="C723" s="21" t="s">
        <v>171</v>
      </c>
      <c r="D723" s="24">
        <v>4</v>
      </c>
      <c r="E723" t="s">
        <v>196</v>
      </c>
      <c r="F723">
        <v>0.39300000000000002</v>
      </c>
      <c r="G723">
        <v>3.69</v>
      </c>
      <c r="H723">
        <v>6.35</v>
      </c>
      <c r="I723">
        <v>23.1</v>
      </c>
      <c r="J723">
        <v>2.1000000000000001E-2</v>
      </c>
      <c r="K723">
        <v>7.79</v>
      </c>
      <c r="L723">
        <v>0.42599999999999999</v>
      </c>
      <c r="M723">
        <v>0.21</v>
      </c>
      <c r="N723">
        <v>0.44500000000000001</v>
      </c>
      <c r="O723">
        <v>15.23</v>
      </c>
      <c r="P723" s="3">
        <v>35.761224795794476</v>
      </c>
      <c r="Q723" s="3">
        <v>1.6871742988240679</v>
      </c>
    </row>
    <row r="724" spans="1:17" x14ac:dyDescent="0.3">
      <c r="A724" t="s">
        <v>257</v>
      </c>
      <c r="B724" s="19" t="s">
        <v>220</v>
      </c>
      <c r="C724" s="21" t="s">
        <v>171</v>
      </c>
      <c r="D724" s="24">
        <v>4</v>
      </c>
      <c r="E724" t="s">
        <v>196</v>
      </c>
      <c r="F724">
        <v>0.37</v>
      </c>
      <c r="G724">
        <v>4.29</v>
      </c>
      <c r="H724">
        <v>6.6120000000000001</v>
      </c>
      <c r="I724">
        <v>22.76</v>
      </c>
      <c r="J724">
        <v>2.7E-2</v>
      </c>
      <c r="K724">
        <v>7.3339999999999996</v>
      </c>
      <c r="L724">
        <v>0.33500000000000002</v>
      </c>
      <c r="M724">
        <v>0.22</v>
      </c>
      <c r="N724">
        <v>0.45900000000000002</v>
      </c>
      <c r="O724">
        <v>14.96</v>
      </c>
      <c r="P724" s="3">
        <v>39.718807645207789</v>
      </c>
      <c r="Q724" s="3">
        <v>1.6973033576940473</v>
      </c>
    </row>
    <row r="725" spans="1:17" x14ac:dyDescent="0.3">
      <c r="A725" t="s">
        <v>257</v>
      </c>
      <c r="B725" s="19" t="s">
        <v>258</v>
      </c>
      <c r="C725" s="21" t="s">
        <v>171</v>
      </c>
      <c r="D725" s="24">
        <v>4</v>
      </c>
      <c r="E725" t="s">
        <v>196</v>
      </c>
      <c r="F725">
        <v>0.27</v>
      </c>
      <c r="G725">
        <v>4.2</v>
      </c>
      <c r="H725">
        <v>6.31</v>
      </c>
      <c r="I725">
        <v>22.58</v>
      </c>
      <c r="J725">
        <v>0.02</v>
      </c>
      <c r="K725">
        <v>6.91</v>
      </c>
      <c r="L725">
        <v>0.34</v>
      </c>
      <c r="M725">
        <v>0.23</v>
      </c>
      <c r="N725">
        <v>0.33</v>
      </c>
      <c r="O725">
        <v>15.93</v>
      </c>
      <c r="P725" s="3">
        <v>37.725360935773089</v>
      </c>
      <c r="Q725" s="3">
        <v>1.8563710710437811</v>
      </c>
    </row>
    <row r="726" spans="1:17" x14ac:dyDescent="0.3">
      <c r="A726" t="s">
        <v>259</v>
      </c>
      <c r="B726" s="19" t="s">
        <v>177</v>
      </c>
      <c r="C726" s="21" t="s">
        <v>171</v>
      </c>
      <c r="D726" s="24">
        <v>4</v>
      </c>
      <c r="E726" t="s">
        <v>196</v>
      </c>
      <c r="F726">
        <v>0.32</v>
      </c>
      <c r="G726">
        <v>3.3</v>
      </c>
      <c r="H726">
        <v>5.9349999999999996</v>
      </c>
      <c r="I726">
        <v>22.65</v>
      </c>
      <c r="J726">
        <v>4.6800000000000001E-2</v>
      </c>
      <c r="K726">
        <v>8.5190000000000001</v>
      </c>
      <c r="L726">
        <v>0.51</v>
      </c>
      <c r="M726">
        <v>0.17199999999999999</v>
      </c>
      <c r="N726">
        <v>0.41</v>
      </c>
      <c r="O726">
        <v>15.76</v>
      </c>
      <c r="P726" s="3">
        <v>32.483171768088468</v>
      </c>
      <c r="Q726" s="3">
        <v>1.48159431043757</v>
      </c>
    </row>
    <row r="727" spans="1:17" x14ac:dyDescent="0.3">
      <c r="A727" t="s">
        <v>259</v>
      </c>
      <c r="B727" s="19" t="s">
        <v>177</v>
      </c>
      <c r="C727" s="21" t="s">
        <v>171</v>
      </c>
      <c r="D727" s="24">
        <v>4</v>
      </c>
      <c r="E727" t="s">
        <v>196</v>
      </c>
      <c r="F727">
        <v>0.33</v>
      </c>
      <c r="G727">
        <v>3.28</v>
      </c>
      <c r="H727">
        <v>6.2149999999999999</v>
      </c>
      <c r="I727">
        <v>22.8</v>
      </c>
      <c r="J727">
        <v>5.0200000000000002E-2</v>
      </c>
      <c r="K727">
        <v>8.1110000000000007</v>
      </c>
      <c r="L727">
        <v>0.54</v>
      </c>
      <c r="M727">
        <v>0.17399999999999999</v>
      </c>
      <c r="N727">
        <v>0.4</v>
      </c>
      <c r="O727">
        <v>15.53</v>
      </c>
      <c r="P727" s="3">
        <v>32.672559757736074</v>
      </c>
      <c r="Q727" s="3">
        <v>1.4320170460389312</v>
      </c>
    </row>
    <row r="728" spans="1:17" x14ac:dyDescent="0.3">
      <c r="A728" t="s">
        <v>260</v>
      </c>
      <c r="B728" s="19" t="s">
        <v>222</v>
      </c>
      <c r="C728" s="21" t="s">
        <v>171</v>
      </c>
      <c r="D728" s="24">
        <v>4</v>
      </c>
      <c r="E728" t="s">
        <v>196</v>
      </c>
      <c r="F728">
        <v>0.68</v>
      </c>
      <c r="G728">
        <v>4.47</v>
      </c>
      <c r="H728">
        <v>6.7389999999999999</v>
      </c>
      <c r="I728">
        <v>22.59</v>
      </c>
      <c r="J728">
        <v>0.18</v>
      </c>
      <c r="K728">
        <v>7.4909999999999997</v>
      </c>
      <c r="L728">
        <v>0.31</v>
      </c>
      <c r="M728">
        <v>0.23</v>
      </c>
      <c r="N728">
        <v>0.22</v>
      </c>
      <c r="O728">
        <v>13.99</v>
      </c>
      <c r="P728" s="3">
        <v>42.334505941703789</v>
      </c>
      <c r="Q728" s="3">
        <v>1.7402523423943581</v>
      </c>
    </row>
    <row r="729" spans="1:17" x14ac:dyDescent="0.3">
      <c r="A729" t="s">
        <v>261</v>
      </c>
      <c r="B729" s="19" t="s">
        <v>165</v>
      </c>
      <c r="C729" s="21" t="s">
        <v>171</v>
      </c>
      <c r="D729" s="24">
        <v>4</v>
      </c>
      <c r="E729" t="s">
        <v>196</v>
      </c>
      <c r="F729">
        <v>0.36</v>
      </c>
      <c r="G729">
        <v>4.32</v>
      </c>
      <c r="H729">
        <v>6.8869999999999996</v>
      </c>
      <c r="I729">
        <v>22.57</v>
      </c>
      <c r="J729">
        <v>0.06</v>
      </c>
      <c r="K729">
        <v>7.9130000000000003</v>
      </c>
      <c r="L729">
        <v>0.55000000000000004</v>
      </c>
      <c r="M729">
        <v>0.12</v>
      </c>
      <c r="N729">
        <v>0.4</v>
      </c>
      <c r="O729">
        <v>14.31</v>
      </c>
      <c r="P729" s="3">
        <v>40.955499991978677</v>
      </c>
      <c r="Q729" s="3">
        <v>0.89607880339239976</v>
      </c>
    </row>
    <row r="730" spans="1:17" x14ac:dyDescent="0.3">
      <c r="A730" t="s">
        <v>261</v>
      </c>
      <c r="B730" s="19" t="s">
        <v>262</v>
      </c>
      <c r="C730" s="21" t="s">
        <v>171</v>
      </c>
      <c r="D730" s="24">
        <v>4</v>
      </c>
      <c r="E730" t="s">
        <v>196</v>
      </c>
      <c r="F730">
        <v>0.31</v>
      </c>
      <c r="G730">
        <v>4.12</v>
      </c>
      <c r="H730">
        <v>6.6920000000000002</v>
      </c>
      <c r="I730">
        <v>23.06</v>
      </c>
      <c r="J730">
        <v>0.04</v>
      </c>
      <c r="K730">
        <v>7.3769999999999998</v>
      </c>
      <c r="L730">
        <v>0.41</v>
      </c>
      <c r="M730">
        <v>0.21</v>
      </c>
      <c r="N730">
        <v>0.41</v>
      </c>
      <c r="O730">
        <v>14.75</v>
      </c>
      <c r="P730" s="3">
        <v>39.090920752254391</v>
      </c>
      <c r="Q730" s="3">
        <v>1.6023315105243641</v>
      </c>
    </row>
    <row r="731" spans="1:17" x14ac:dyDescent="0.3">
      <c r="A731" t="s">
        <v>261</v>
      </c>
      <c r="B731" s="19" t="s">
        <v>222</v>
      </c>
      <c r="C731" s="21" t="s">
        <v>171</v>
      </c>
      <c r="D731" s="24">
        <v>4</v>
      </c>
      <c r="E731" t="s">
        <v>196</v>
      </c>
      <c r="F731">
        <v>0.3</v>
      </c>
      <c r="G731">
        <v>4.0999999999999996</v>
      </c>
      <c r="H731">
        <v>7.0890000000000004</v>
      </c>
      <c r="I731">
        <v>22.92</v>
      </c>
      <c r="J731">
        <v>0.14000000000000001</v>
      </c>
      <c r="K731">
        <v>7.6630000000000003</v>
      </c>
      <c r="L731">
        <v>0.35</v>
      </c>
      <c r="M731">
        <v>0.21</v>
      </c>
      <c r="N731">
        <v>0.16</v>
      </c>
      <c r="O731">
        <v>13.81</v>
      </c>
      <c r="P731" s="3">
        <v>40.552211939235569</v>
      </c>
      <c r="Q731" s="3">
        <v>1.513955865341756</v>
      </c>
    </row>
    <row r="732" spans="1:17" x14ac:dyDescent="0.3">
      <c r="A732" t="s">
        <v>261</v>
      </c>
      <c r="B732" s="19" t="s">
        <v>220</v>
      </c>
      <c r="C732" s="21" t="s">
        <v>171</v>
      </c>
      <c r="D732" s="24">
        <v>4</v>
      </c>
      <c r="E732" t="s">
        <v>196</v>
      </c>
      <c r="F732">
        <v>0.35</v>
      </c>
      <c r="G732">
        <v>4.38</v>
      </c>
      <c r="H732">
        <v>6.8819999999999997</v>
      </c>
      <c r="I732">
        <v>23.07</v>
      </c>
      <c r="J732">
        <v>3.4000000000000002E-2</v>
      </c>
      <c r="K732">
        <v>7.42</v>
      </c>
      <c r="L732">
        <v>0.38200000000000001</v>
      </c>
      <c r="M732">
        <v>0.23</v>
      </c>
      <c r="N732">
        <v>0.434</v>
      </c>
      <c r="O732">
        <v>14.63</v>
      </c>
      <c r="P732" s="3">
        <v>40.754402926106316</v>
      </c>
      <c r="Q732" s="3">
        <v>1.704708341446401</v>
      </c>
    </row>
    <row r="733" spans="1:17" x14ac:dyDescent="0.3">
      <c r="A733" t="s">
        <v>261</v>
      </c>
      <c r="B733" s="19" t="s">
        <v>263</v>
      </c>
      <c r="C733" s="21" t="s">
        <v>171</v>
      </c>
      <c r="D733" s="24">
        <v>4</v>
      </c>
      <c r="E733" t="s">
        <v>196</v>
      </c>
      <c r="F733">
        <v>0.28199999999999997</v>
      </c>
      <c r="G733">
        <v>4.49</v>
      </c>
      <c r="H733">
        <v>6.01</v>
      </c>
      <c r="I733">
        <v>22.6</v>
      </c>
      <c r="J733">
        <v>3.1E-2</v>
      </c>
      <c r="K733">
        <v>7.09</v>
      </c>
      <c r="L733">
        <v>0.47</v>
      </c>
      <c r="M733">
        <v>0.23100000000000001</v>
      </c>
      <c r="N733">
        <v>0.46200000000000002</v>
      </c>
      <c r="O733">
        <v>15.6</v>
      </c>
      <c r="P733" s="3">
        <v>39.8068318717172</v>
      </c>
      <c r="Q733" s="3">
        <v>1.9555314615087722</v>
      </c>
    </row>
    <row r="734" spans="1:17" x14ac:dyDescent="0.3">
      <c r="A734" t="s">
        <v>264</v>
      </c>
      <c r="B734" s="19" t="s">
        <v>218</v>
      </c>
      <c r="C734" s="21" t="s">
        <v>171</v>
      </c>
      <c r="D734" s="24">
        <v>4</v>
      </c>
      <c r="E734" t="s">
        <v>196</v>
      </c>
      <c r="F734">
        <v>0.379</v>
      </c>
      <c r="G734">
        <v>3.52</v>
      </c>
      <c r="H734">
        <v>6.3</v>
      </c>
      <c r="I734">
        <v>23</v>
      </c>
      <c r="J734">
        <v>4.8000000000000001E-2</v>
      </c>
      <c r="K734">
        <v>7.5</v>
      </c>
      <c r="L734">
        <v>0.56000000000000005</v>
      </c>
      <c r="M734">
        <v>0.189</v>
      </c>
      <c r="N734">
        <v>0.42299999999999999</v>
      </c>
      <c r="O734">
        <v>16</v>
      </c>
      <c r="P734" s="3">
        <v>33.576381012765466</v>
      </c>
      <c r="Q734" s="3">
        <v>1.5329096650232759</v>
      </c>
    </row>
    <row r="735" spans="1:17" x14ac:dyDescent="0.3">
      <c r="A735" t="s">
        <v>264</v>
      </c>
      <c r="B735" s="19" t="s">
        <v>218</v>
      </c>
      <c r="C735" s="21" t="s">
        <v>171</v>
      </c>
      <c r="D735" s="24">
        <v>4</v>
      </c>
      <c r="E735" t="s">
        <v>196</v>
      </c>
      <c r="F735">
        <v>0.372</v>
      </c>
      <c r="G735">
        <v>3.44</v>
      </c>
      <c r="H735">
        <v>6.3</v>
      </c>
      <c r="I735">
        <v>23.2</v>
      </c>
      <c r="J735">
        <v>4.2000000000000003E-2</v>
      </c>
      <c r="K735">
        <v>7.2</v>
      </c>
      <c r="L735">
        <v>0.49</v>
      </c>
      <c r="M735">
        <v>0.19800000000000001</v>
      </c>
      <c r="N735">
        <v>0.42</v>
      </c>
      <c r="O735">
        <v>15.9</v>
      </c>
      <c r="P735" s="3">
        <v>33.204512680961216</v>
      </c>
      <c r="Q735" s="3">
        <v>1.6047339765850994</v>
      </c>
    </row>
    <row r="736" spans="1:17" x14ac:dyDescent="0.3">
      <c r="A736" t="s">
        <v>265</v>
      </c>
      <c r="B736" s="19" t="s">
        <v>207</v>
      </c>
      <c r="C736" s="21" t="s">
        <v>171</v>
      </c>
      <c r="D736" s="24">
        <v>4</v>
      </c>
      <c r="E736" t="s">
        <v>196</v>
      </c>
      <c r="F736">
        <v>0.36199999999999999</v>
      </c>
      <c r="G736">
        <v>3.46</v>
      </c>
      <c r="H736">
        <v>6.62</v>
      </c>
      <c r="I736">
        <v>21.5</v>
      </c>
      <c r="J736">
        <v>2.87E-2</v>
      </c>
      <c r="K736">
        <v>6.85</v>
      </c>
      <c r="L736">
        <v>0.28399999999999997</v>
      </c>
      <c r="M736">
        <v>0.191</v>
      </c>
      <c r="N736">
        <v>0.89100000000000001</v>
      </c>
      <c r="O736">
        <v>14.9</v>
      </c>
      <c r="P736" s="3">
        <v>34.791999253828365</v>
      </c>
      <c r="Q736" s="3">
        <v>1.4751137887684564</v>
      </c>
    </row>
    <row r="737" spans="1:17" x14ac:dyDescent="0.3">
      <c r="A737" t="s">
        <v>266</v>
      </c>
      <c r="B737" s="19" t="s">
        <v>177</v>
      </c>
      <c r="C737" s="21" t="s">
        <v>171</v>
      </c>
      <c r="D737" s="24">
        <v>4</v>
      </c>
      <c r="E737" t="s">
        <v>196</v>
      </c>
      <c r="F737">
        <v>0.33</v>
      </c>
      <c r="G737">
        <v>4.42</v>
      </c>
      <c r="H737">
        <v>6.35</v>
      </c>
      <c r="I737">
        <v>22.87</v>
      </c>
      <c r="J737">
        <v>6.4299999999999996E-2</v>
      </c>
      <c r="K737">
        <v>6.96</v>
      </c>
      <c r="L737">
        <v>0.36</v>
      </c>
      <c r="M737">
        <v>0.219</v>
      </c>
      <c r="N737">
        <v>0.43</v>
      </c>
      <c r="O737">
        <v>15</v>
      </c>
      <c r="P737" s="3">
        <v>40.371426762962138</v>
      </c>
      <c r="Q737" s="3">
        <v>1.758210451279961</v>
      </c>
    </row>
    <row r="738" spans="1:17" x14ac:dyDescent="0.3">
      <c r="A738" t="s">
        <v>266</v>
      </c>
      <c r="B738" s="19" t="s">
        <v>177</v>
      </c>
      <c r="C738" s="21" t="s">
        <v>171</v>
      </c>
      <c r="D738" s="24">
        <v>4</v>
      </c>
      <c r="E738" t="s">
        <v>196</v>
      </c>
      <c r="F738">
        <v>0.32</v>
      </c>
      <c r="G738">
        <v>4.4400000000000004</v>
      </c>
      <c r="H738">
        <v>6.2439999999999998</v>
      </c>
      <c r="I738">
        <v>23</v>
      </c>
      <c r="J738">
        <v>3.0599999999999999E-2</v>
      </c>
      <c r="K738">
        <v>7.12</v>
      </c>
      <c r="L738">
        <v>0.33</v>
      </c>
      <c r="M738">
        <v>0.23100000000000001</v>
      </c>
      <c r="N738">
        <v>0.43</v>
      </c>
      <c r="O738">
        <v>14.67</v>
      </c>
      <c r="P738" s="3">
        <v>41.017250196710165</v>
      </c>
      <c r="Q738" s="3">
        <v>1.8836264337010487</v>
      </c>
    </row>
    <row r="739" spans="1:17" x14ac:dyDescent="0.3">
      <c r="A739" t="s">
        <v>267</v>
      </c>
      <c r="B739" s="19" t="s">
        <v>243</v>
      </c>
      <c r="C739" s="21" t="s">
        <v>171</v>
      </c>
      <c r="D739" s="24">
        <v>4</v>
      </c>
      <c r="E739" t="s">
        <v>196</v>
      </c>
      <c r="F739">
        <v>0.42</v>
      </c>
      <c r="G739">
        <v>4.16</v>
      </c>
      <c r="H739">
        <v>6.2190000000000003</v>
      </c>
      <c r="I739">
        <v>22.36</v>
      </c>
      <c r="J739">
        <v>6.2E-2</v>
      </c>
      <c r="K739">
        <v>7.04</v>
      </c>
      <c r="L739">
        <v>0.54</v>
      </c>
      <c r="M739">
        <v>0.22800000000000001</v>
      </c>
      <c r="N739">
        <v>0.40400000000000003</v>
      </c>
      <c r="O739">
        <v>14.45</v>
      </c>
      <c r="P739" s="3">
        <v>39.812555626608713</v>
      </c>
      <c r="Q739" s="3">
        <v>1.8669546535390102</v>
      </c>
    </row>
    <row r="740" spans="1:17" x14ac:dyDescent="0.3">
      <c r="A740" t="s">
        <v>268</v>
      </c>
      <c r="B740" s="19" t="s">
        <v>177</v>
      </c>
      <c r="C740" s="21" t="s">
        <v>171</v>
      </c>
      <c r="D740" s="24">
        <v>4</v>
      </c>
      <c r="E740" t="s">
        <v>196</v>
      </c>
      <c r="F740">
        <v>0.30399999999999999</v>
      </c>
      <c r="G740">
        <v>4.13</v>
      </c>
      <c r="H740">
        <v>6.5239999999999991</v>
      </c>
      <c r="I740">
        <v>22.83</v>
      </c>
      <c r="J740">
        <v>2.5000000000000001E-2</v>
      </c>
      <c r="K740">
        <v>6.94</v>
      </c>
      <c r="L740">
        <v>0.36</v>
      </c>
      <c r="M740">
        <v>0.21099999999999999</v>
      </c>
      <c r="N740">
        <v>0.44</v>
      </c>
      <c r="O740">
        <v>14.96</v>
      </c>
      <c r="P740" s="3">
        <v>38.812402643936778</v>
      </c>
      <c r="Q740" s="3">
        <v>1.6506096430580806</v>
      </c>
    </row>
    <row r="741" spans="1:17" x14ac:dyDescent="0.3">
      <c r="A741" t="s">
        <v>268</v>
      </c>
      <c r="B741" s="19" t="s">
        <v>177</v>
      </c>
      <c r="C741" s="21" t="s">
        <v>171</v>
      </c>
      <c r="D741" s="24">
        <v>4</v>
      </c>
      <c r="E741" t="s">
        <v>196</v>
      </c>
      <c r="F741">
        <v>0.33500000000000002</v>
      </c>
      <c r="G741">
        <v>3.85</v>
      </c>
      <c r="H741">
        <v>6.6879999999999997</v>
      </c>
      <c r="I741">
        <v>23.24</v>
      </c>
      <c r="J741">
        <v>2.6200000000000001E-2</v>
      </c>
      <c r="K741">
        <v>7.1870000000000003</v>
      </c>
      <c r="L741">
        <v>0.31</v>
      </c>
      <c r="M741">
        <v>0.214</v>
      </c>
      <c r="N741">
        <v>0.44</v>
      </c>
      <c r="O741">
        <v>14.48</v>
      </c>
      <c r="P741" s="3">
        <v>37.923480920764675</v>
      </c>
      <c r="Q741" s="3">
        <v>1.6333142488821302</v>
      </c>
    </row>
    <row r="742" spans="1:17" x14ac:dyDescent="0.3">
      <c r="A742" t="s">
        <v>269</v>
      </c>
      <c r="B742" s="19" t="s">
        <v>243</v>
      </c>
      <c r="C742" s="21" t="s">
        <v>171</v>
      </c>
      <c r="D742" s="24">
        <v>4</v>
      </c>
      <c r="E742" t="s">
        <v>196</v>
      </c>
      <c r="F742">
        <v>0.36</v>
      </c>
      <c r="G742">
        <v>4.87</v>
      </c>
      <c r="H742">
        <v>6.2030000000000003</v>
      </c>
      <c r="I742">
        <v>22.45</v>
      </c>
      <c r="J742">
        <v>3.5999999999999997E-2</v>
      </c>
      <c r="K742">
        <v>6.83</v>
      </c>
      <c r="L742">
        <v>0.4</v>
      </c>
      <c r="M742">
        <v>0.252</v>
      </c>
      <c r="N742">
        <v>0.41399999999999998</v>
      </c>
      <c r="O742">
        <v>14.09</v>
      </c>
      <c r="P742" s="3">
        <v>44.263532949471582</v>
      </c>
      <c r="Q742" s="3">
        <v>2.0646313845089646</v>
      </c>
    </row>
    <row r="743" spans="1:17" x14ac:dyDescent="0.3">
      <c r="A743" t="s">
        <v>269</v>
      </c>
      <c r="B743" s="19" t="s">
        <v>177</v>
      </c>
      <c r="C743" s="21" t="s">
        <v>171</v>
      </c>
      <c r="D743" s="24">
        <v>4</v>
      </c>
      <c r="E743" t="s">
        <v>196</v>
      </c>
      <c r="F743">
        <v>0.35</v>
      </c>
      <c r="G743">
        <v>4.8499999999999996</v>
      </c>
      <c r="H743">
        <v>6.5389999999999997</v>
      </c>
      <c r="I743">
        <v>23.43</v>
      </c>
      <c r="J743">
        <v>3.9600000000000003E-2</v>
      </c>
      <c r="K743">
        <v>6.97</v>
      </c>
      <c r="L743">
        <v>0.49</v>
      </c>
      <c r="M743">
        <v>0.254</v>
      </c>
      <c r="N743">
        <v>0.43</v>
      </c>
      <c r="O743">
        <v>13.31</v>
      </c>
      <c r="P743" s="3">
        <v>45.570665862648092</v>
      </c>
      <c r="Q743" s="3">
        <v>1.9758754020034037</v>
      </c>
    </row>
    <row r="744" spans="1:17" x14ac:dyDescent="0.3">
      <c r="A744" t="s">
        <v>269</v>
      </c>
      <c r="B744" s="19" t="s">
        <v>177</v>
      </c>
      <c r="C744" s="21" t="s">
        <v>171</v>
      </c>
      <c r="D744" s="24">
        <v>4</v>
      </c>
      <c r="E744" t="s">
        <v>196</v>
      </c>
      <c r="F744">
        <v>0.32</v>
      </c>
      <c r="G744">
        <v>5.49</v>
      </c>
      <c r="H744">
        <v>6.22</v>
      </c>
      <c r="I744">
        <v>23.39</v>
      </c>
      <c r="J744">
        <v>3.4799999999999998E-2</v>
      </c>
      <c r="K744">
        <v>6.67</v>
      </c>
      <c r="L744">
        <v>0.39</v>
      </c>
      <c r="M744">
        <v>0.26500000000000001</v>
      </c>
      <c r="N744">
        <v>0.43</v>
      </c>
      <c r="O744">
        <v>13.6</v>
      </c>
      <c r="P744" s="3">
        <v>48.119796203972129</v>
      </c>
      <c r="Q744" s="3">
        <v>2.1630306987710601</v>
      </c>
    </row>
    <row r="745" spans="1:17" x14ac:dyDescent="0.3">
      <c r="A745" t="s">
        <v>270</v>
      </c>
      <c r="B745" s="19" t="s">
        <v>177</v>
      </c>
      <c r="C745" s="21" t="s">
        <v>171</v>
      </c>
      <c r="D745" s="24">
        <v>4</v>
      </c>
      <c r="E745" t="s">
        <v>196</v>
      </c>
      <c r="F745">
        <v>0.33200000000000002</v>
      </c>
      <c r="G745">
        <v>4</v>
      </c>
      <c r="H745">
        <v>6.7990000000000004</v>
      </c>
      <c r="I745">
        <v>22.9</v>
      </c>
      <c r="J745">
        <v>3.3000000000000002E-2</v>
      </c>
      <c r="K745">
        <v>7</v>
      </c>
      <c r="L745">
        <v>0.4</v>
      </c>
      <c r="M745">
        <v>0.23799999999999999</v>
      </c>
      <c r="N745">
        <v>0.47</v>
      </c>
      <c r="O745">
        <v>14.9</v>
      </c>
      <c r="P745" s="3">
        <v>38.150410443969463</v>
      </c>
      <c r="Q745" s="3">
        <v>1.7840948604793898</v>
      </c>
    </row>
    <row r="746" spans="1:17" x14ac:dyDescent="0.3">
      <c r="A746" t="s">
        <v>271</v>
      </c>
      <c r="B746" s="19" t="s">
        <v>207</v>
      </c>
      <c r="C746" s="21" t="s">
        <v>171</v>
      </c>
      <c r="D746" s="24">
        <v>4</v>
      </c>
      <c r="E746" t="s">
        <v>196</v>
      </c>
      <c r="F746">
        <v>0.309</v>
      </c>
      <c r="G746">
        <v>5.28</v>
      </c>
      <c r="H746">
        <v>5.77</v>
      </c>
      <c r="I746">
        <v>23.1</v>
      </c>
      <c r="J746">
        <v>3.4099999999999998E-2</v>
      </c>
      <c r="K746">
        <v>6.36</v>
      </c>
      <c r="L746">
        <v>0.38400000000000001</v>
      </c>
      <c r="M746">
        <v>0.27</v>
      </c>
      <c r="N746">
        <v>0.86</v>
      </c>
      <c r="O746">
        <v>14.1</v>
      </c>
      <c r="P746" s="3">
        <v>46.248294871981884</v>
      </c>
      <c r="Q746" s="3">
        <v>2.3706772417991604</v>
      </c>
    </row>
    <row r="747" spans="1:17" x14ac:dyDescent="0.3">
      <c r="A747" t="s">
        <v>271</v>
      </c>
      <c r="B747" s="19" t="s">
        <v>177</v>
      </c>
      <c r="C747" s="21" t="s">
        <v>171</v>
      </c>
      <c r="D747" s="24">
        <v>4</v>
      </c>
      <c r="E747" t="s">
        <v>196</v>
      </c>
      <c r="F747">
        <v>0.3</v>
      </c>
      <c r="G747">
        <v>5.42</v>
      </c>
      <c r="H747">
        <v>5.9770000000000003</v>
      </c>
      <c r="I747">
        <v>23.35</v>
      </c>
      <c r="J747">
        <v>0.05</v>
      </c>
      <c r="K747">
        <v>6.39</v>
      </c>
      <c r="L747">
        <v>0.38</v>
      </c>
      <c r="M747">
        <v>0.314</v>
      </c>
      <c r="N747">
        <v>0.41</v>
      </c>
      <c r="O747">
        <v>14.18</v>
      </c>
      <c r="P747" s="3">
        <v>46.758582399438431</v>
      </c>
      <c r="Q747" s="3">
        <v>2.6538083780972821</v>
      </c>
    </row>
    <row r="748" spans="1:17" x14ac:dyDescent="0.3">
      <c r="A748" t="s">
        <v>272</v>
      </c>
      <c r="B748" s="19" t="s">
        <v>177</v>
      </c>
      <c r="C748" s="21" t="s">
        <v>171</v>
      </c>
      <c r="D748" s="24">
        <v>4</v>
      </c>
      <c r="E748" t="s">
        <v>196</v>
      </c>
      <c r="F748">
        <v>0.31</v>
      </c>
      <c r="G748">
        <v>5.63</v>
      </c>
      <c r="H748">
        <v>5.96</v>
      </c>
      <c r="I748">
        <v>23.41</v>
      </c>
      <c r="J748">
        <v>5.6599999999999998E-2</v>
      </c>
      <c r="K748">
        <v>6.48</v>
      </c>
      <c r="L748">
        <v>0.33</v>
      </c>
      <c r="M748">
        <v>0.26400000000000001</v>
      </c>
      <c r="N748">
        <v>0.43</v>
      </c>
      <c r="O748">
        <v>14.09</v>
      </c>
      <c r="P748" s="3">
        <v>47.864849813842973</v>
      </c>
      <c r="Q748" s="3">
        <v>2.2469438211808157</v>
      </c>
    </row>
    <row r="749" spans="1:17" x14ac:dyDescent="0.3">
      <c r="A749" t="s">
        <v>272</v>
      </c>
      <c r="B749" s="19" t="s">
        <v>177</v>
      </c>
      <c r="C749" s="21" t="s">
        <v>171</v>
      </c>
      <c r="D749" s="24">
        <v>4</v>
      </c>
      <c r="E749" t="s">
        <v>196</v>
      </c>
      <c r="F749">
        <v>0.28999999999999998</v>
      </c>
      <c r="G749">
        <v>7.109</v>
      </c>
      <c r="H749">
        <v>4.7</v>
      </c>
      <c r="I749">
        <v>22.75</v>
      </c>
      <c r="J749">
        <v>0.1085</v>
      </c>
      <c r="K749">
        <v>5.14</v>
      </c>
      <c r="L749">
        <v>0.24</v>
      </c>
      <c r="M749">
        <v>0.39400000000000002</v>
      </c>
      <c r="N749">
        <v>0.51</v>
      </c>
      <c r="O749">
        <v>16.649999999999999</v>
      </c>
      <c r="P749" s="3">
        <v>49.521246532229171</v>
      </c>
      <c r="Q749" s="3">
        <v>4.1687855856632501</v>
      </c>
    </row>
    <row r="750" spans="1:17" x14ac:dyDescent="0.3">
      <c r="A750" t="s">
        <v>273</v>
      </c>
      <c r="B750" s="19" t="s">
        <v>177</v>
      </c>
      <c r="C750" s="21" t="s">
        <v>171</v>
      </c>
      <c r="D750" s="24">
        <v>4</v>
      </c>
      <c r="E750" t="s">
        <v>196</v>
      </c>
      <c r="F750">
        <v>0.32</v>
      </c>
      <c r="G750">
        <v>4.07</v>
      </c>
      <c r="H750">
        <v>7.0720000000000001</v>
      </c>
      <c r="I750">
        <v>23.17</v>
      </c>
      <c r="J750">
        <v>3.1300000000000001E-2</v>
      </c>
      <c r="K750">
        <v>7.2759999999999998</v>
      </c>
      <c r="L750">
        <v>0.37</v>
      </c>
      <c r="M750">
        <v>0.20200000000000001</v>
      </c>
      <c r="N750">
        <v>0.39</v>
      </c>
      <c r="O750">
        <v>14.2</v>
      </c>
      <c r="P750" s="3">
        <v>39.706699703006613</v>
      </c>
      <c r="Q750" s="3">
        <v>1.4605732810503385</v>
      </c>
    </row>
    <row r="751" spans="1:17" x14ac:dyDescent="0.3">
      <c r="A751" t="s">
        <v>274</v>
      </c>
      <c r="B751" s="19" t="s">
        <v>177</v>
      </c>
      <c r="C751" s="21" t="s">
        <v>171</v>
      </c>
      <c r="D751" s="24">
        <v>4</v>
      </c>
      <c r="E751" t="s">
        <v>196</v>
      </c>
      <c r="F751">
        <v>0.26700000000000002</v>
      </c>
      <c r="G751">
        <v>4.0999999999999996</v>
      </c>
      <c r="H751">
        <v>6.89</v>
      </c>
      <c r="I751">
        <v>23.04</v>
      </c>
      <c r="J751">
        <v>3.2099999999999997E-2</v>
      </c>
      <c r="K751">
        <v>7.3140000000000001</v>
      </c>
      <c r="L751">
        <v>0.4</v>
      </c>
      <c r="M751">
        <v>0.21199999999999999</v>
      </c>
      <c r="N751">
        <v>0.43</v>
      </c>
      <c r="O751">
        <v>14.51</v>
      </c>
      <c r="P751" s="3">
        <v>39.366002495916426</v>
      </c>
      <c r="Q751" s="3">
        <v>1.571597318813736</v>
      </c>
    </row>
    <row r="752" spans="1:17" x14ac:dyDescent="0.3">
      <c r="A752" t="s">
        <v>275</v>
      </c>
      <c r="B752" s="19" t="s">
        <v>177</v>
      </c>
      <c r="C752" s="21" t="s">
        <v>171</v>
      </c>
      <c r="D752" s="24">
        <v>4</v>
      </c>
      <c r="E752" t="s">
        <v>196</v>
      </c>
      <c r="F752">
        <v>0.33300000000000002</v>
      </c>
      <c r="G752">
        <v>4.5999999999999996</v>
      </c>
      <c r="H752">
        <v>6.06</v>
      </c>
      <c r="I752">
        <v>22.88</v>
      </c>
      <c r="J752">
        <v>5.7000000000000002E-2</v>
      </c>
      <c r="K752">
        <v>7.07</v>
      </c>
      <c r="L752">
        <v>0.63</v>
      </c>
      <c r="M752">
        <v>0.26200000000000001</v>
      </c>
      <c r="N752">
        <v>0.41</v>
      </c>
      <c r="O752">
        <v>14.63</v>
      </c>
      <c r="P752" s="3">
        <v>41.942847243816281</v>
      </c>
      <c r="Q752" s="3">
        <v>2.1943051028217706</v>
      </c>
    </row>
    <row r="753" spans="1:17" x14ac:dyDescent="0.3">
      <c r="A753" t="s">
        <v>276</v>
      </c>
      <c r="B753" s="19" t="s">
        <v>220</v>
      </c>
      <c r="C753" s="21" t="s">
        <v>171</v>
      </c>
      <c r="D753" s="24">
        <v>4</v>
      </c>
      <c r="E753" t="s">
        <v>196</v>
      </c>
      <c r="F753">
        <v>0.36</v>
      </c>
      <c r="G753">
        <v>5.05</v>
      </c>
      <c r="H753">
        <v>6.4160000000000004</v>
      </c>
      <c r="I753">
        <v>23.06</v>
      </c>
      <c r="J753">
        <v>0.04</v>
      </c>
      <c r="K753">
        <v>7.13</v>
      </c>
      <c r="L753">
        <v>0.43</v>
      </c>
      <c r="M753">
        <v>0.28999999999999998</v>
      </c>
      <c r="N753">
        <v>0.41699999999999998</v>
      </c>
      <c r="O753">
        <v>14.23</v>
      </c>
      <c r="P753" s="3">
        <v>44.915974042066175</v>
      </c>
      <c r="Q753" s="3">
        <v>2.2917594891966431</v>
      </c>
    </row>
    <row r="754" spans="1:17" x14ac:dyDescent="0.3">
      <c r="A754" t="s">
        <v>276</v>
      </c>
      <c r="B754" s="19" t="s">
        <v>277</v>
      </c>
      <c r="C754" s="21" t="s">
        <v>171</v>
      </c>
      <c r="D754" s="24">
        <v>4</v>
      </c>
      <c r="E754" t="s">
        <v>196</v>
      </c>
      <c r="F754">
        <v>0.46</v>
      </c>
      <c r="G754">
        <v>5.08</v>
      </c>
      <c r="H754">
        <v>6.1989999999999998</v>
      </c>
      <c r="I754">
        <v>22.95</v>
      </c>
      <c r="J754">
        <v>0.05</v>
      </c>
      <c r="K754">
        <v>7.37</v>
      </c>
      <c r="L754">
        <v>0.44</v>
      </c>
      <c r="M754">
        <v>0.28999999999999998</v>
      </c>
      <c r="N754">
        <v>0.39</v>
      </c>
      <c r="O754">
        <v>14.38</v>
      </c>
      <c r="P754" s="3">
        <v>44.803106766677431</v>
      </c>
      <c r="Q754" s="3">
        <v>2.3700826233123382</v>
      </c>
    </row>
    <row r="755" spans="1:17" x14ac:dyDescent="0.3">
      <c r="A755" t="s">
        <v>276</v>
      </c>
      <c r="B755" s="19" t="s">
        <v>177</v>
      </c>
      <c r="C755" s="21" t="s">
        <v>171</v>
      </c>
      <c r="D755" s="24">
        <v>4</v>
      </c>
      <c r="E755" t="s">
        <v>196</v>
      </c>
      <c r="F755">
        <v>0.33</v>
      </c>
      <c r="G755">
        <v>5.05</v>
      </c>
      <c r="H755">
        <v>6.2990000000000004</v>
      </c>
      <c r="I755">
        <v>23.25</v>
      </c>
      <c r="J755">
        <v>4.3499999999999997E-2</v>
      </c>
      <c r="K755">
        <v>6.79</v>
      </c>
      <c r="L755">
        <v>0.47</v>
      </c>
      <c r="M755">
        <v>0.29699999999999999</v>
      </c>
      <c r="N755">
        <v>0.41</v>
      </c>
      <c r="O755">
        <v>13.77</v>
      </c>
      <c r="P755" s="3">
        <v>45.730270176396168</v>
      </c>
      <c r="Q755" s="3">
        <v>2.3883109596394436</v>
      </c>
    </row>
    <row r="756" spans="1:17" x14ac:dyDescent="0.3">
      <c r="A756" t="s">
        <v>278</v>
      </c>
      <c r="B756" s="19" t="s">
        <v>279</v>
      </c>
      <c r="C756" s="21" t="s">
        <v>171</v>
      </c>
      <c r="D756" s="24">
        <v>4</v>
      </c>
      <c r="E756" t="s">
        <v>196</v>
      </c>
      <c r="F756">
        <v>0.15</v>
      </c>
      <c r="G756">
        <v>7.3319999999999999</v>
      </c>
      <c r="H756">
        <v>7.9889999999999999</v>
      </c>
      <c r="I756">
        <v>22.32</v>
      </c>
      <c r="J756">
        <v>7.0000000000000007E-2</v>
      </c>
      <c r="K756">
        <v>7.42</v>
      </c>
      <c r="L756">
        <v>0.2</v>
      </c>
      <c r="M756">
        <v>9.6000000000000002E-2</v>
      </c>
      <c r="N756">
        <v>0.39</v>
      </c>
      <c r="O756">
        <v>10.88</v>
      </c>
      <c r="P756" s="3">
        <v>60.759641198138688</v>
      </c>
      <c r="Q756" s="3">
        <v>0.61970258375635434</v>
      </c>
    </row>
    <row r="757" spans="1:17" x14ac:dyDescent="0.3">
      <c r="A757" t="s">
        <v>280</v>
      </c>
      <c r="B757" s="19" t="s">
        <v>177</v>
      </c>
      <c r="C757" s="21" t="s">
        <v>171</v>
      </c>
      <c r="D757" s="24">
        <v>4</v>
      </c>
      <c r="E757" t="s">
        <v>196</v>
      </c>
      <c r="F757">
        <v>0.36</v>
      </c>
      <c r="G757">
        <v>3.75</v>
      </c>
      <c r="H757">
        <v>6.65</v>
      </c>
      <c r="I757">
        <v>24.01</v>
      </c>
      <c r="J757">
        <v>5.2900000000000003E-2</v>
      </c>
      <c r="K757">
        <v>7.49</v>
      </c>
      <c r="L757">
        <v>0.59</v>
      </c>
      <c r="M757">
        <v>0.189</v>
      </c>
      <c r="N757">
        <v>0.37</v>
      </c>
      <c r="O757">
        <v>12.68</v>
      </c>
      <c r="P757" s="3">
        <v>40.459092304061691</v>
      </c>
      <c r="Q757" s="3">
        <v>1.4534028064479327</v>
      </c>
    </row>
    <row r="758" spans="1:17" x14ac:dyDescent="0.3">
      <c r="A758" t="s">
        <v>280</v>
      </c>
      <c r="B758" s="19" t="s">
        <v>281</v>
      </c>
      <c r="C758" s="21" t="s">
        <v>171</v>
      </c>
      <c r="D758" s="24">
        <v>4</v>
      </c>
      <c r="E758" t="s">
        <v>196</v>
      </c>
      <c r="F758">
        <v>0.33</v>
      </c>
      <c r="G758">
        <v>4.42</v>
      </c>
      <c r="H758">
        <v>7.03</v>
      </c>
      <c r="I758">
        <v>23.89</v>
      </c>
      <c r="J758">
        <v>7.0999999999999994E-2</v>
      </c>
      <c r="K758">
        <v>7.42</v>
      </c>
      <c r="L758">
        <v>0.44</v>
      </c>
      <c r="M758">
        <v>0.21</v>
      </c>
      <c r="N758">
        <v>0.46</v>
      </c>
      <c r="O758">
        <v>15.3</v>
      </c>
      <c r="P758" s="3">
        <v>39.895642712300308</v>
      </c>
      <c r="Q758" s="3">
        <v>1.5264679425891456</v>
      </c>
    </row>
    <row r="759" spans="1:17" x14ac:dyDescent="0.3">
      <c r="A759" t="s">
        <v>280</v>
      </c>
      <c r="B759" s="19" t="s">
        <v>177</v>
      </c>
      <c r="C759" s="21" t="s">
        <v>171</v>
      </c>
      <c r="D759" s="24">
        <v>4</v>
      </c>
      <c r="E759" t="s">
        <v>196</v>
      </c>
      <c r="F759">
        <v>0.31900000000000001</v>
      </c>
      <c r="G759">
        <v>4.16</v>
      </c>
      <c r="H759">
        <v>6.3959999999999999</v>
      </c>
      <c r="I759">
        <v>23.25</v>
      </c>
      <c r="J759">
        <v>3.8600000000000002E-2</v>
      </c>
      <c r="K759">
        <v>7.181</v>
      </c>
      <c r="L759">
        <v>0.4</v>
      </c>
      <c r="M759">
        <v>0.22800000000000001</v>
      </c>
      <c r="N759">
        <v>0.45</v>
      </c>
      <c r="O759">
        <v>14.62</v>
      </c>
      <c r="P759" s="3">
        <v>39.532629983308219</v>
      </c>
      <c r="Q759" s="3">
        <v>1.816227756827036</v>
      </c>
    </row>
    <row r="760" spans="1:17" x14ac:dyDescent="0.3">
      <c r="A760" t="s">
        <v>280</v>
      </c>
      <c r="B760" s="19" t="s">
        <v>263</v>
      </c>
      <c r="C760" s="21" t="s">
        <v>171</v>
      </c>
      <c r="D760" s="24">
        <v>4</v>
      </c>
      <c r="E760" t="s">
        <v>196</v>
      </c>
      <c r="F760">
        <v>0.33500000000000002</v>
      </c>
      <c r="G760">
        <v>4.43</v>
      </c>
      <c r="H760">
        <v>6.69</v>
      </c>
      <c r="I760">
        <v>23.5</v>
      </c>
      <c r="J760">
        <v>3.5999999999999997E-2</v>
      </c>
      <c r="K760">
        <v>7.22</v>
      </c>
      <c r="L760">
        <v>0.43</v>
      </c>
      <c r="M760">
        <v>0.23</v>
      </c>
      <c r="N760">
        <v>0.46500000000000002</v>
      </c>
      <c r="O760">
        <v>15.5</v>
      </c>
      <c r="P760" s="3">
        <v>39.638693371644287</v>
      </c>
      <c r="Q760" s="3">
        <v>1.7527751722805598</v>
      </c>
    </row>
    <row r="761" spans="1:17" x14ac:dyDescent="0.3">
      <c r="A761" t="s">
        <v>280</v>
      </c>
      <c r="B761" s="19" t="s">
        <v>177</v>
      </c>
      <c r="C761" s="21" t="s">
        <v>171</v>
      </c>
      <c r="D761" s="24">
        <v>4</v>
      </c>
      <c r="E761" t="s">
        <v>196</v>
      </c>
      <c r="F761">
        <v>0.26300000000000001</v>
      </c>
      <c r="G761">
        <v>5.16</v>
      </c>
      <c r="H761">
        <v>5.4059999999999997</v>
      </c>
      <c r="I761">
        <v>22.76</v>
      </c>
      <c r="J761">
        <v>4.3200000000000002E-2</v>
      </c>
      <c r="K761">
        <v>6.25</v>
      </c>
      <c r="L761">
        <v>0.49</v>
      </c>
      <c r="M761">
        <v>0.29799999999999999</v>
      </c>
      <c r="N761">
        <v>0.49</v>
      </c>
      <c r="O761">
        <v>15.97</v>
      </c>
      <c r="P761" s="3">
        <v>42.607643332162027</v>
      </c>
      <c r="Q761" s="3">
        <v>2.7809662977280341</v>
      </c>
    </row>
    <row r="762" spans="1:17" x14ac:dyDescent="0.3">
      <c r="A762" t="s">
        <v>282</v>
      </c>
      <c r="B762" s="19" t="s">
        <v>283</v>
      </c>
      <c r="C762" s="21" t="s">
        <v>171</v>
      </c>
      <c r="D762" s="24">
        <v>4</v>
      </c>
      <c r="E762" t="s">
        <v>196</v>
      </c>
      <c r="F762">
        <v>0.16</v>
      </c>
      <c r="G762">
        <v>7.17</v>
      </c>
      <c r="H762">
        <v>7.274</v>
      </c>
      <c r="I762">
        <v>22.71</v>
      </c>
      <c r="J762">
        <v>0.01</v>
      </c>
      <c r="K762">
        <v>6.77</v>
      </c>
      <c r="L762">
        <v>0.13</v>
      </c>
      <c r="M762">
        <v>0.42</v>
      </c>
      <c r="N762">
        <v>0.39</v>
      </c>
      <c r="O762">
        <v>11.54</v>
      </c>
      <c r="P762" s="3">
        <v>58.806799969481048</v>
      </c>
      <c r="Q762" s="3">
        <v>2.9091004753406779</v>
      </c>
    </row>
    <row r="763" spans="1:17" x14ac:dyDescent="0.3">
      <c r="A763" t="s">
        <v>284</v>
      </c>
      <c r="B763" s="19" t="s">
        <v>222</v>
      </c>
      <c r="C763" s="21" t="s">
        <v>171</v>
      </c>
      <c r="D763" s="24">
        <v>4</v>
      </c>
      <c r="E763" t="s">
        <v>196</v>
      </c>
      <c r="F763">
        <v>0.33</v>
      </c>
      <c r="G763">
        <v>5.07</v>
      </c>
      <c r="H763">
        <v>8.2430000000000003</v>
      </c>
      <c r="I763">
        <v>22.51</v>
      </c>
      <c r="J763">
        <v>7.0000000000000007E-2</v>
      </c>
      <c r="K763">
        <v>7.92</v>
      </c>
      <c r="L763">
        <v>0.19</v>
      </c>
      <c r="M763">
        <v>0.3</v>
      </c>
      <c r="N763">
        <v>0.24</v>
      </c>
      <c r="O763">
        <v>12.19</v>
      </c>
      <c r="P763" s="3">
        <v>48.86576410813651</v>
      </c>
      <c r="Q763" s="3">
        <v>1.8535937639670437</v>
      </c>
    </row>
    <row r="764" spans="1:17" x14ac:dyDescent="0.3">
      <c r="A764" t="s">
        <v>285</v>
      </c>
      <c r="B764" s="19" t="s">
        <v>218</v>
      </c>
      <c r="C764" s="21" t="s">
        <v>171</v>
      </c>
      <c r="D764" s="24">
        <v>4</v>
      </c>
      <c r="E764" t="s">
        <v>196</v>
      </c>
      <c r="F764">
        <v>0.377</v>
      </c>
      <c r="G764">
        <v>3.3</v>
      </c>
      <c r="H764">
        <v>6.6</v>
      </c>
      <c r="I764">
        <v>23.2</v>
      </c>
      <c r="J764">
        <v>4.2999999999999997E-2</v>
      </c>
      <c r="K764">
        <v>7.3</v>
      </c>
      <c r="L764">
        <v>0.5</v>
      </c>
      <c r="M764">
        <v>0.192</v>
      </c>
      <c r="N764">
        <v>0.45400000000000001</v>
      </c>
      <c r="O764">
        <v>15.1</v>
      </c>
      <c r="P764" s="3">
        <v>33.428352204087112</v>
      </c>
      <c r="Q764" s="3">
        <v>1.4871486644350067</v>
      </c>
    </row>
    <row r="765" spans="1:17" x14ac:dyDescent="0.3">
      <c r="A765" t="s">
        <v>285</v>
      </c>
      <c r="B765" s="19" t="s">
        <v>218</v>
      </c>
      <c r="C765" s="21" t="s">
        <v>171</v>
      </c>
      <c r="D765" s="24">
        <v>4</v>
      </c>
      <c r="E765" t="s">
        <v>196</v>
      </c>
      <c r="F765">
        <v>0.376</v>
      </c>
      <c r="G765">
        <v>3.4</v>
      </c>
      <c r="H765">
        <v>6.3</v>
      </c>
      <c r="I765">
        <v>23.1</v>
      </c>
      <c r="J765">
        <v>0.04</v>
      </c>
      <c r="K765">
        <v>7.4</v>
      </c>
      <c r="L765">
        <v>0.49</v>
      </c>
      <c r="M765">
        <v>0.193</v>
      </c>
      <c r="N765">
        <v>0.45</v>
      </c>
      <c r="O765">
        <v>15.3</v>
      </c>
      <c r="P765" s="3">
        <v>33.800898815198146</v>
      </c>
      <c r="Q765" s="3">
        <v>1.5648445224221434</v>
      </c>
    </row>
    <row r="766" spans="1:17" x14ac:dyDescent="0.3">
      <c r="A766" t="s">
        <v>285</v>
      </c>
      <c r="B766" s="19" t="s">
        <v>262</v>
      </c>
      <c r="C766" s="21" t="s">
        <v>171</v>
      </c>
      <c r="D766" s="24">
        <v>4</v>
      </c>
      <c r="E766" t="s">
        <v>196</v>
      </c>
      <c r="F766">
        <v>0.42</v>
      </c>
      <c r="G766">
        <v>3.29</v>
      </c>
      <c r="H766">
        <v>6.2359999999999998</v>
      </c>
      <c r="I766">
        <v>23.12</v>
      </c>
      <c r="J766">
        <v>0.04</v>
      </c>
      <c r="K766">
        <v>7.4340000000000002</v>
      </c>
      <c r="L766">
        <v>0.56999999999999995</v>
      </c>
      <c r="M766">
        <v>0.2</v>
      </c>
      <c r="N766">
        <v>0.43</v>
      </c>
      <c r="O766">
        <v>15.73</v>
      </c>
      <c r="P766" s="3">
        <v>32.458404123892741</v>
      </c>
      <c r="Q766" s="3">
        <v>1.6370414463801763</v>
      </c>
    </row>
    <row r="767" spans="1:17" x14ac:dyDescent="0.3">
      <c r="A767" t="s">
        <v>286</v>
      </c>
      <c r="B767" s="19" t="s">
        <v>195</v>
      </c>
      <c r="C767" s="21" t="s">
        <v>171</v>
      </c>
      <c r="D767" s="24">
        <v>4</v>
      </c>
      <c r="E767" t="s">
        <v>196</v>
      </c>
      <c r="F767">
        <v>0.27700000000000002</v>
      </c>
      <c r="G767">
        <v>4.41</v>
      </c>
      <c r="H767">
        <v>6.5099999999999989</v>
      </c>
      <c r="I767">
        <v>23.8</v>
      </c>
      <c r="J767">
        <v>2.6599999999999999E-2</v>
      </c>
      <c r="K767">
        <v>7.1180000000000003</v>
      </c>
      <c r="L767">
        <v>0.28999999999999998</v>
      </c>
      <c r="M767">
        <v>0.223</v>
      </c>
      <c r="N767">
        <v>0.438</v>
      </c>
      <c r="O767">
        <v>15.5</v>
      </c>
      <c r="P767" s="3">
        <v>39.530479702416017</v>
      </c>
      <c r="Q767" s="3">
        <v>1.7465297024263489</v>
      </c>
    </row>
    <row r="768" spans="1:17" x14ac:dyDescent="0.3">
      <c r="A768" t="s">
        <v>287</v>
      </c>
      <c r="B768" s="19" t="s">
        <v>288</v>
      </c>
      <c r="C768" s="21" t="s">
        <v>171</v>
      </c>
      <c r="D768" s="24">
        <v>4</v>
      </c>
      <c r="E768" t="s">
        <v>196</v>
      </c>
      <c r="F768">
        <v>0.5</v>
      </c>
      <c r="G768">
        <v>3.7</v>
      </c>
      <c r="H768">
        <v>5.77</v>
      </c>
      <c r="I768">
        <v>23.3</v>
      </c>
      <c r="J768">
        <v>0.13300000000000001</v>
      </c>
      <c r="K768">
        <v>6.9</v>
      </c>
      <c r="L768">
        <v>0.749</v>
      </c>
      <c r="M768">
        <v>0.20499999999999999</v>
      </c>
      <c r="N768">
        <v>0.4</v>
      </c>
      <c r="O768">
        <v>15.5</v>
      </c>
      <c r="P768" s="3">
        <v>35.420430819022407</v>
      </c>
      <c r="Q768" s="3">
        <v>1.8102903099782315</v>
      </c>
    </row>
    <row r="769" spans="1:17" x14ac:dyDescent="0.3">
      <c r="A769" t="s">
        <v>287</v>
      </c>
      <c r="B769" s="19" t="s">
        <v>288</v>
      </c>
      <c r="C769" s="21" t="s">
        <v>171</v>
      </c>
      <c r="D769" s="24">
        <v>4</v>
      </c>
      <c r="E769" t="s">
        <v>196</v>
      </c>
      <c r="F769">
        <v>0.45</v>
      </c>
      <c r="G769">
        <v>3.7</v>
      </c>
      <c r="H769">
        <v>5.56</v>
      </c>
      <c r="I769">
        <v>23.2</v>
      </c>
      <c r="J769">
        <v>0.125</v>
      </c>
      <c r="K769">
        <v>6.9</v>
      </c>
      <c r="L769">
        <v>0.86299999999999999</v>
      </c>
      <c r="M769">
        <v>0.20699999999999999</v>
      </c>
      <c r="N769">
        <v>0.4</v>
      </c>
      <c r="O769">
        <v>15.8</v>
      </c>
      <c r="P769" s="3">
        <v>34.983166721832298</v>
      </c>
      <c r="Q769" s="3">
        <v>1.895349699704802</v>
      </c>
    </row>
    <row r="770" spans="1:17" x14ac:dyDescent="0.3">
      <c r="A770" t="s">
        <v>289</v>
      </c>
      <c r="B770" s="19" t="s">
        <v>177</v>
      </c>
      <c r="C770" s="21" t="s">
        <v>171</v>
      </c>
      <c r="D770" s="24">
        <v>4</v>
      </c>
      <c r="E770" t="s">
        <v>196</v>
      </c>
      <c r="F770">
        <v>0.3</v>
      </c>
      <c r="G770">
        <v>4.01</v>
      </c>
      <c r="H770">
        <v>6.7549999999999999</v>
      </c>
      <c r="I770">
        <v>23.21</v>
      </c>
      <c r="J770">
        <v>2.8199999999999999E-2</v>
      </c>
      <c r="K770">
        <v>7.2439999999999998</v>
      </c>
      <c r="L770">
        <v>0.44</v>
      </c>
      <c r="M770">
        <v>0.20899999999999999</v>
      </c>
      <c r="N770">
        <v>0.42</v>
      </c>
      <c r="O770">
        <v>14.48</v>
      </c>
      <c r="P770" s="3">
        <v>38.886652195351118</v>
      </c>
      <c r="Q770" s="3">
        <v>1.5801840870672645</v>
      </c>
    </row>
    <row r="771" spans="1:17" x14ac:dyDescent="0.3">
      <c r="A771" t="s">
        <v>289</v>
      </c>
      <c r="B771" s="19" t="s">
        <v>177</v>
      </c>
      <c r="C771" s="21" t="s">
        <v>171</v>
      </c>
      <c r="D771" s="24">
        <v>4</v>
      </c>
      <c r="E771" t="s">
        <v>196</v>
      </c>
      <c r="F771">
        <v>0.28999999999999998</v>
      </c>
      <c r="G771">
        <v>4</v>
      </c>
      <c r="H771">
        <v>6.891</v>
      </c>
      <c r="I771">
        <v>22.82</v>
      </c>
      <c r="J771">
        <v>2.2599999999999999E-2</v>
      </c>
      <c r="K771">
        <v>7.3150000000000004</v>
      </c>
      <c r="L771">
        <v>0.41</v>
      </c>
      <c r="M771">
        <v>0.21299999999999999</v>
      </c>
      <c r="N771">
        <v>0.42</v>
      </c>
      <c r="O771">
        <v>14.7</v>
      </c>
      <c r="P771" s="3">
        <v>38.469784995957212</v>
      </c>
      <c r="Q771" s="3">
        <v>1.5786679603733755</v>
      </c>
    </row>
    <row r="772" spans="1:17" x14ac:dyDescent="0.3">
      <c r="A772" t="s">
        <v>290</v>
      </c>
      <c r="B772" s="19" t="s">
        <v>177</v>
      </c>
      <c r="C772" s="21" t="s">
        <v>171</v>
      </c>
      <c r="D772" s="24">
        <v>4</v>
      </c>
      <c r="E772" t="s">
        <v>196</v>
      </c>
      <c r="F772">
        <v>0.34</v>
      </c>
      <c r="G772">
        <v>3.62</v>
      </c>
      <c r="H772">
        <v>6.86</v>
      </c>
      <c r="I772">
        <v>23.33</v>
      </c>
      <c r="J772">
        <v>3.4299999999999997E-2</v>
      </c>
      <c r="K772">
        <v>7.3890000000000002</v>
      </c>
      <c r="L772">
        <v>0.44</v>
      </c>
      <c r="M772">
        <v>0.20299999999999999</v>
      </c>
      <c r="N772">
        <v>0.41</v>
      </c>
      <c r="O772">
        <v>14.11</v>
      </c>
      <c r="P772" s="3">
        <v>37.086404583211838</v>
      </c>
      <c r="Q772" s="3">
        <v>1.5123691696239385</v>
      </c>
    </row>
    <row r="773" spans="1:17" x14ac:dyDescent="0.3">
      <c r="A773" t="s">
        <v>291</v>
      </c>
      <c r="B773" s="19" t="s">
        <v>177</v>
      </c>
      <c r="C773" s="21" t="s">
        <v>171</v>
      </c>
      <c r="D773" s="24">
        <v>4</v>
      </c>
      <c r="E773" t="s">
        <v>196</v>
      </c>
      <c r="F773">
        <v>0.255</v>
      </c>
      <c r="G773">
        <v>4.2</v>
      </c>
      <c r="H773">
        <v>6.93</v>
      </c>
      <c r="I773">
        <v>22.64</v>
      </c>
      <c r="J773">
        <v>2.4500000000000001E-2</v>
      </c>
      <c r="K773">
        <v>7.1509999999999998</v>
      </c>
      <c r="L773">
        <v>0.28999999999999998</v>
      </c>
      <c r="M773">
        <v>0.216</v>
      </c>
      <c r="N773">
        <v>0.42</v>
      </c>
      <c r="O773">
        <v>14.75</v>
      </c>
      <c r="P773" s="3">
        <v>39.549766439548925</v>
      </c>
      <c r="Q773" s="3">
        <v>1.591682805495795</v>
      </c>
    </row>
    <row r="774" spans="1:17" x14ac:dyDescent="0.3">
      <c r="A774" t="s">
        <v>291</v>
      </c>
      <c r="B774" s="19" t="s">
        <v>177</v>
      </c>
      <c r="C774" s="21" t="s">
        <v>171</v>
      </c>
      <c r="D774" s="24">
        <v>4</v>
      </c>
      <c r="E774" t="s">
        <v>196</v>
      </c>
      <c r="F774">
        <v>0.245</v>
      </c>
      <c r="G774">
        <v>4.2</v>
      </c>
      <c r="H774">
        <v>6.91</v>
      </c>
      <c r="I774">
        <v>22.64</v>
      </c>
      <c r="J774">
        <v>2.0400000000000001E-2</v>
      </c>
      <c r="K774">
        <v>7.1820000000000004</v>
      </c>
      <c r="L774">
        <v>0.26</v>
      </c>
      <c r="M774">
        <v>0.22500000000000001</v>
      </c>
      <c r="N774">
        <v>0.44</v>
      </c>
      <c r="O774">
        <v>14.85</v>
      </c>
      <c r="P774" s="3">
        <v>39.388340380190208</v>
      </c>
      <c r="Q774" s="3">
        <v>1.6616200460850872</v>
      </c>
    </row>
    <row r="775" spans="1:17" x14ac:dyDescent="0.3">
      <c r="A775" t="s">
        <v>292</v>
      </c>
      <c r="B775" s="19" t="s">
        <v>177</v>
      </c>
      <c r="C775" s="21" t="s">
        <v>171</v>
      </c>
      <c r="D775" s="24">
        <v>4</v>
      </c>
      <c r="E775" t="s">
        <v>196</v>
      </c>
      <c r="F775">
        <v>0.23599999999999999</v>
      </c>
      <c r="G775">
        <v>6.7489999999999997</v>
      </c>
      <c r="H775">
        <v>5.3789999999999996</v>
      </c>
      <c r="I775">
        <v>22.97</v>
      </c>
      <c r="J775">
        <v>1.77E-2</v>
      </c>
      <c r="K775">
        <v>6.06</v>
      </c>
      <c r="L775">
        <v>0.24</v>
      </c>
      <c r="M775">
        <v>0.48199999999999998</v>
      </c>
      <c r="N775">
        <v>0.42</v>
      </c>
      <c r="O775">
        <v>14.68</v>
      </c>
      <c r="P775" s="3">
        <v>51.369812840767736</v>
      </c>
      <c r="Q775" s="3">
        <v>4.4433508709611713</v>
      </c>
    </row>
    <row r="776" spans="1:17" x14ac:dyDescent="0.3">
      <c r="A776" t="s">
        <v>293</v>
      </c>
      <c r="B776" s="19" t="s">
        <v>177</v>
      </c>
      <c r="C776" s="21" t="s">
        <v>171</v>
      </c>
      <c r="D776" s="24">
        <v>4</v>
      </c>
      <c r="E776" t="s">
        <v>196</v>
      </c>
      <c r="F776">
        <v>0.29499999999999998</v>
      </c>
      <c r="G776">
        <v>4.29</v>
      </c>
      <c r="H776">
        <v>7.0860000000000003</v>
      </c>
      <c r="I776">
        <v>22.67</v>
      </c>
      <c r="J776">
        <v>2.47E-2</v>
      </c>
      <c r="K776">
        <v>7.1859999999999999</v>
      </c>
      <c r="L776">
        <v>0.24</v>
      </c>
      <c r="M776">
        <v>0.251</v>
      </c>
      <c r="N776">
        <v>0.41</v>
      </c>
      <c r="O776">
        <v>14.71</v>
      </c>
      <c r="P776" s="3">
        <v>40.122995818467068</v>
      </c>
      <c r="Q776" s="3">
        <v>1.804954881764707</v>
      </c>
    </row>
    <row r="777" spans="1:17" x14ac:dyDescent="0.3">
      <c r="A777" t="s">
        <v>293</v>
      </c>
      <c r="B777" s="19" t="s">
        <v>177</v>
      </c>
      <c r="C777" s="21" t="s">
        <v>171</v>
      </c>
      <c r="D777" s="24">
        <v>4</v>
      </c>
      <c r="E777" t="s">
        <v>196</v>
      </c>
      <c r="F777">
        <v>0.32500000000000001</v>
      </c>
      <c r="G777">
        <v>4.32</v>
      </c>
      <c r="H777">
        <v>7.0869999999999997</v>
      </c>
      <c r="I777">
        <v>22.67</v>
      </c>
      <c r="J777">
        <v>2.23E-2</v>
      </c>
      <c r="K777">
        <v>7.12</v>
      </c>
      <c r="L777">
        <v>0.26</v>
      </c>
      <c r="M777">
        <v>0.254</v>
      </c>
      <c r="N777">
        <v>0.44</v>
      </c>
      <c r="O777">
        <v>14.77</v>
      </c>
      <c r="P777" s="3">
        <v>40.192641135288206</v>
      </c>
      <c r="Q777" s="3">
        <v>1.8258811237794956</v>
      </c>
    </row>
    <row r="778" spans="1:17" x14ac:dyDescent="0.3">
      <c r="A778" t="s">
        <v>294</v>
      </c>
      <c r="B778" s="19" t="s">
        <v>177</v>
      </c>
      <c r="C778" s="21" t="s">
        <v>171</v>
      </c>
      <c r="D778" s="24">
        <v>4</v>
      </c>
      <c r="E778" t="s">
        <v>196</v>
      </c>
      <c r="F778">
        <v>0.33700000000000002</v>
      </c>
      <c r="G778">
        <v>4.1500000000000004</v>
      </c>
      <c r="H778">
        <v>6.3559999999999999</v>
      </c>
      <c r="I778">
        <v>23.6</v>
      </c>
      <c r="J778">
        <v>2.86E-2</v>
      </c>
      <c r="K778">
        <v>7.4109999999999996</v>
      </c>
      <c r="L778">
        <v>0.5</v>
      </c>
      <c r="M778">
        <v>0.20499999999999999</v>
      </c>
      <c r="N778">
        <v>0.41</v>
      </c>
      <c r="O778">
        <v>14.25</v>
      </c>
      <c r="P778" s="3">
        <v>40.089179609861915</v>
      </c>
      <c r="Q778" s="3">
        <v>1.6461355869609866</v>
      </c>
    </row>
    <row r="779" spans="1:17" x14ac:dyDescent="0.3">
      <c r="A779" t="s">
        <v>295</v>
      </c>
      <c r="B779" s="19" t="s">
        <v>296</v>
      </c>
      <c r="C779" s="21" t="s">
        <v>171</v>
      </c>
      <c r="D779" s="24">
        <v>4</v>
      </c>
      <c r="E779" t="s">
        <v>196</v>
      </c>
      <c r="F779">
        <v>0.44369999999999998</v>
      </c>
      <c r="G779">
        <v>3.84</v>
      </c>
      <c r="H779">
        <v>6.45</v>
      </c>
      <c r="I779">
        <v>22.72</v>
      </c>
      <c r="J779">
        <v>3.4500000000000003E-2</v>
      </c>
      <c r="K779">
        <v>7.39</v>
      </c>
      <c r="L779">
        <v>0.43</v>
      </c>
      <c r="M779">
        <v>0.19400000000000001</v>
      </c>
      <c r="N779">
        <v>0.50390000000000001</v>
      </c>
      <c r="O779">
        <v>16.149999999999999</v>
      </c>
      <c r="P779" s="3">
        <v>35.330346752408332</v>
      </c>
      <c r="Q779" s="3">
        <v>1.5368097987676814</v>
      </c>
    </row>
    <row r="780" spans="1:17" x14ac:dyDescent="0.3">
      <c r="A780" t="s">
        <v>297</v>
      </c>
      <c r="B780" s="19" t="s">
        <v>298</v>
      </c>
      <c r="C780" s="21" t="s">
        <v>171</v>
      </c>
      <c r="D780" s="24">
        <v>4</v>
      </c>
      <c r="E780" t="s">
        <v>196</v>
      </c>
      <c r="F780">
        <v>0.4</v>
      </c>
      <c r="G780">
        <v>5.2</v>
      </c>
      <c r="H780">
        <v>5.91</v>
      </c>
      <c r="I780">
        <v>23.79</v>
      </c>
      <c r="J780">
        <v>0.05</v>
      </c>
      <c r="K780">
        <v>7.35</v>
      </c>
      <c r="L780">
        <v>0.31</v>
      </c>
      <c r="M780">
        <v>0.25</v>
      </c>
      <c r="N780">
        <v>0.4</v>
      </c>
      <c r="O780">
        <v>13.13</v>
      </c>
      <c r="P780" s="3">
        <v>47.643168916980642</v>
      </c>
      <c r="Q780" s="3">
        <v>2.1479620583064944</v>
      </c>
    </row>
    <row r="781" spans="1:17" x14ac:dyDescent="0.3">
      <c r="A781" t="s">
        <v>297</v>
      </c>
      <c r="B781" s="19" t="s">
        <v>298</v>
      </c>
      <c r="C781" s="21" t="s">
        <v>171</v>
      </c>
      <c r="D781" s="24">
        <v>4</v>
      </c>
      <c r="E781" t="s">
        <v>196</v>
      </c>
      <c r="F781">
        <v>0.36699999999999999</v>
      </c>
      <c r="G781">
        <v>5.28</v>
      </c>
      <c r="H781">
        <v>6.07</v>
      </c>
      <c r="I781">
        <v>23.32</v>
      </c>
      <c r="J781">
        <v>0.04</v>
      </c>
      <c r="K781">
        <v>6.93</v>
      </c>
      <c r="L781">
        <v>0.63</v>
      </c>
      <c r="M781">
        <v>0.29599999999999999</v>
      </c>
      <c r="N781">
        <v>0.39800000000000002</v>
      </c>
      <c r="O781">
        <v>13.53</v>
      </c>
      <c r="P781" s="3">
        <v>47.275565138027275</v>
      </c>
      <c r="Q781" s="3">
        <v>2.4680509778184825</v>
      </c>
    </row>
    <row r="782" spans="1:17" x14ac:dyDescent="0.3">
      <c r="A782" t="s">
        <v>297</v>
      </c>
      <c r="B782" s="19" t="s">
        <v>298</v>
      </c>
      <c r="C782" s="21" t="s">
        <v>171</v>
      </c>
      <c r="D782" s="24">
        <v>4</v>
      </c>
      <c r="E782" t="s">
        <v>196</v>
      </c>
      <c r="F782">
        <v>0.32300000000000001</v>
      </c>
      <c r="G782">
        <v>5.3</v>
      </c>
      <c r="H782">
        <v>5.53</v>
      </c>
      <c r="I782">
        <v>23.23</v>
      </c>
      <c r="J782">
        <v>3.3000000000000002E-2</v>
      </c>
      <c r="K782">
        <v>6.59</v>
      </c>
      <c r="L782">
        <v>0.55000000000000004</v>
      </c>
      <c r="M782">
        <v>0.36599999999999999</v>
      </c>
      <c r="N782">
        <v>0.42699999999999999</v>
      </c>
      <c r="O782">
        <v>16.28</v>
      </c>
      <c r="P782" s="3">
        <v>42.792243458130457</v>
      </c>
      <c r="Q782" s="3">
        <v>3.3204339771068465</v>
      </c>
    </row>
    <row r="783" spans="1:17" x14ac:dyDescent="0.3">
      <c r="A783" t="s">
        <v>297</v>
      </c>
      <c r="B783" s="19" t="s">
        <v>299</v>
      </c>
      <c r="C783" s="21" t="s">
        <v>171</v>
      </c>
      <c r="D783" s="24">
        <v>4</v>
      </c>
      <c r="E783" t="s">
        <v>196</v>
      </c>
      <c r="F783">
        <v>0.3</v>
      </c>
      <c r="G783">
        <v>6.01</v>
      </c>
      <c r="H783">
        <v>5.9880000000000004</v>
      </c>
      <c r="I783">
        <v>22.43</v>
      </c>
      <c r="J783">
        <v>0.02</v>
      </c>
      <c r="K783">
        <v>7.6909999999999998</v>
      </c>
      <c r="L783">
        <v>0.44</v>
      </c>
      <c r="M783">
        <v>6.8000000000000005E-2</v>
      </c>
      <c r="N783">
        <v>0.41</v>
      </c>
      <c r="O783">
        <v>14.02</v>
      </c>
      <c r="P783" s="3">
        <v>49.620951572592844</v>
      </c>
      <c r="Q783" s="3">
        <v>0.58584073766781453</v>
      </c>
    </row>
    <row r="784" spans="1:17" x14ac:dyDescent="0.3">
      <c r="A784" t="s">
        <v>300</v>
      </c>
      <c r="B784" s="19" t="s">
        <v>243</v>
      </c>
      <c r="C784" s="21" t="s">
        <v>171</v>
      </c>
      <c r="D784" s="24">
        <v>4</v>
      </c>
      <c r="E784" t="s">
        <v>196</v>
      </c>
      <c r="F784">
        <v>0.39</v>
      </c>
      <c r="G784">
        <v>4.37</v>
      </c>
      <c r="H784">
        <v>6.5519999999999996</v>
      </c>
      <c r="I784">
        <v>22.22</v>
      </c>
      <c r="J784">
        <v>3.6999999999999998E-2</v>
      </c>
      <c r="K784">
        <v>6.88</v>
      </c>
      <c r="L784">
        <v>0.4</v>
      </c>
      <c r="M784">
        <v>0.221</v>
      </c>
      <c r="N784">
        <v>0.41</v>
      </c>
      <c r="O784">
        <v>14.23</v>
      </c>
      <c r="P784" s="3">
        <v>41.36997654528848</v>
      </c>
      <c r="Q784" s="3">
        <v>1.7202307862108819</v>
      </c>
    </row>
    <row r="785" spans="1:17" x14ac:dyDescent="0.3">
      <c r="A785" t="s">
        <v>300</v>
      </c>
      <c r="B785" s="19" t="s">
        <v>243</v>
      </c>
      <c r="C785" s="21" t="s">
        <v>171</v>
      </c>
      <c r="D785" s="24">
        <v>4</v>
      </c>
      <c r="E785" t="s">
        <v>196</v>
      </c>
      <c r="F785">
        <v>0.36</v>
      </c>
      <c r="G785">
        <v>4.54</v>
      </c>
      <c r="H785">
        <v>6.2770000000000001</v>
      </c>
      <c r="I785">
        <v>21.92</v>
      </c>
      <c r="J785">
        <v>2.2999999999999996E-2</v>
      </c>
      <c r="K785">
        <v>6.85</v>
      </c>
      <c r="L785">
        <v>0.38</v>
      </c>
      <c r="M785">
        <v>0.22700000000000001</v>
      </c>
      <c r="N785">
        <v>0.41199999999999998</v>
      </c>
      <c r="O785">
        <v>14.6</v>
      </c>
      <c r="P785" s="3">
        <v>41.673366050323366</v>
      </c>
      <c r="Q785" s="3">
        <v>1.8420583131610828</v>
      </c>
    </row>
    <row r="786" spans="1:17" x14ac:dyDescent="0.3">
      <c r="A786" t="s">
        <v>301</v>
      </c>
      <c r="B786" s="19" t="s">
        <v>177</v>
      </c>
      <c r="C786" s="21" t="s">
        <v>171</v>
      </c>
      <c r="D786" s="24">
        <v>4</v>
      </c>
      <c r="E786" t="s">
        <v>196</v>
      </c>
      <c r="F786">
        <v>0.33</v>
      </c>
      <c r="G786">
        <v>4.0599999999999996</v>
      </c>
      <c r="H786">
        <v>6.61</v>
      </c>
      <c r="I786">
        <v>22.92</v>
      </c>
      <c r="J786">
        <v>3.3500000000000002E-2</v>
      </c>
      <c r="K786">
        <v>7.2460000000000004</v>
      </c>
      <c r="L786">
        <v>0.39</v>
      </c>
      <c r="M786">
        <v>0.21299999999999999</v>
      </c>
      <c r="N786">
        <v>0.43</v>
      </c>
      <c r="O786">
        <v>14.9</v>
      </c>
      <c r="P786" s="3">
        <v>38.502334620306641</v>
      </c>
      <c r="Q786" s="3">
        <v>1.6446754978410842</v>
      </c>
    </row>
    <row r="787" spans="1:17" x14ac:dyDescent="0.3">
      <c r="A787" t="s">
        <v>302</v>
      </c>
      <c r="B787" s="19" t="s">
        <v>177</v>
      </c>
      <c r="C787" s="21" t="s">
        <v>171</v>
      </c>
      <c r="D787" s="24">
        <v>4</v>
      </c>
      <c r="E787" t="s">
        <v>196</v>
      </c>
      <c r="F787">
        <v>0.311</v>
      </c>
      <c r="G787">
        <v>3.82</v>
      </c>
      <c r="H787">
        <v>6.92</v>
      </c>
      <c r="I787">
        <v>23.06</v>
      </c>
      <c r="J787">
        <v>0.05</v>
      </c>
      <c r="K787">
        <v>7.42</v>
      </c>
      <c r="L787">
        <v>0.49</v>
      </c>
      <c r="M787">
        <v>0.2</v>
      </c>
      <c r="N787">
        <v>0.4</v>
      </c>
      <c r="O787">
        <v>14.66</v>
      </c>
      <c r="P787" s="3">
        <v>37.449652341341682</v>
      </c>
      <c r="Q787" s="3">
        <v>1.4776207972252142</v>
      </c>
    </row>
    <row r="788" spans="1:17" x14ac:dyDescent="0.3">
      <c r="A788" t="s">
        <v>302</v>
      </c>
      <c r="B788" s="19" t="s">
        <v>177</v>
      </c>
      <c r="C788" s="21" t="s">
        <v>171</v>
      </c>
      <c r="D788" s="24">
        <v>4</v>
      </c>
      <c r="E788" t="s">
        <v>196</v>
      </c>
      <c r="F788">
        <v>0.313</v>
      </c>
      <c r="G788">
        <v>3.86</v>
      </c>
      <c r="H788">
        <v>6.6550000000000002</v>
      </c>
      <c r="I788">
        <v>23.02</v>
      </c>
      <c r="J788">
        <v>4.7800000000000002E-2</v>
      </c>
      <c r="K788">
        <v>7.4569999999999999</v>
      </c>
      <c r="L788">
        <v>0.38</v>
      </c>
      <c r="M788">
        <v>0.20399999999999999</v>
      </c>
      <c r="N788">
        <v>0.39</v>
      </c>
      <c r="O788">
        <v>14.44</v>
      </c>
      <c r="P788" s="3">
        <v>38.049752006042446</v>
      </c>
      <c r="Q788" s="3">
        <v>1.5657859383892889</v>
      </c>
    </row>
    <row r="789" spans="1:17" x14ac:dyDescent="0.3">
      <c r="A789" t="s">
        <v>303</v>
      </c>
      <c r="B789" s="19" t="s">
        <v>177</v>
      </c>
      <c r="C789" s="21" t="s">
        <v>171</v>
      </c>
      <c r="D789" s="24">
        <v>4</v>
      </c>
      <c r="E789" t="s">
        <v>196</v>
      </c>
      <c r="F789">
        <v>0.28100000000000003</v>
      </c>
      <c r="G789">
        <v>3.97</v>
      </c>
      <c r="H789">
        <v>6.5940000000000003</v>
      </c>
      <c r="I789">
        <v>23.04</v>
      </c>
      <c r="J789">
        <v>2.1899999999999999E-2</v>
      </c>
      <c r="K789">
        <v>7.12</v>
      </c>
      <c r="L789">
        <v>0.41</v>
      </c>
      <c r="M789">
        <v>0.215</v>
      </c>
      <c r="N789">
        <v>0.42</v>
      </c>
      <c r="O789">
        <v>14.72</v>
      </c>
      <c r="P789" s="3">
        <v>38.259620682023396</v>
      </c>
      <c r="Q789" s="3">
        <v>1.6638226863773351</v>
      </c>
    </row>
    <row r="790" spans="1:17" x14ac:dyDescent="0.3">
      <c r="A790" t="s">
        <v>303</v>
      </c>
      <c r="B790" s="19" t="s">
        <v>177</v>
      </c>
      <c r="C790" s="21" t="s">
        <v>171</v>
      </c>
      <c r="D790" s="24">
        <v>4</v>
      </c>
      <c r="E790" t="s">
        <v>196</v>
      </c>
      <c r="F790">
        <v>0.28799999999999998</v>
      </c>
      <c r="G790">
        <v>3.89</v>
      </c>
      <c r="H790">
        <v>6.7220000000000004</v>
      </c>
      <c r="I790">
        <v>23.29</v>
      </c>
      <c r="J790">
        <v>2.1899999999999999E-2</v>
      </c>
      <c r="K790">
        <v>7.1619999999999999</v>
      </c>
      <c r="L790">
        <v>0.44</v>
      </c>
      <c r="M790">
        <v>0.215</v>
      </c>
      <c r="N790">
        <v>0.44</v>
      </c>
      <c r="O790">
        <v>14.6</v>
      </c>
      <c r="P790" s="3">
        <v>37.972527227138457</v>
      </c>
      <c r="Q790" s="3">
        <v>1.6326575205784115</v>
      </c>
    </row>
    <row r="791" spans="1:17" x14ac:dyDescent="0.3">
      <c r="A791" t="s">
        <v>304</v>
      </c>
      <c r="B791" s="19" t="s">
        <v>177</v>
      </c>
      <c r="C791" s="21" t="s">
        <v>171</v>
      </c>
      <c r="D791" s="24">
        <v>4</v>
      </c>
      <c r="E791" t="s">
        <v>196</v>
      </c>
      <c r="F791">
        <v>0.33</v>
      </c>
      <c r="G791">
        <v>3.92</v>
      </c>
      <c r="H791">
        <v>6.5919999999999996</v>
      </c>
      <c r="I791">
        <v>23.5</v>
      </c>
      <c r="J791">
        <v>3.9199999999999999E-2</v>
      </c>
      <c r="K791">
        <v>7.3239999999999998</v>
      </c>
      <c r="L791">
        <v>0.44</v>
      </c>
      <c r="M791">
        <v>0.20799999999999999</v>
      </c>
      <c r="N791">
        <v>0.39</v>
      </c>
      <c r="O791">
        <v>14.26</v>
      </c>
      <c r="P791" s="3">
        <v>38.71118336160616</v>
      </c>
      <c r="Q791" s="3">
        <v>1.6110049098158563</v>
      </c>
    </row>
    <row r="792" spans="1:17" x14ac:dyDescent="0.3">
      <c r="A792" t="s">
        <v>305</v>
      </c>
      <c r="B792" s="19" t="s">
        <v>177</v>
      </c>
      <c r="C792" s="21" t="s">
        <v>171</v>
      </c>
      <c r="D792" s="24">
        <v>4</v>
      </c>
      <c r="E792" t="s">
        <v>196</v>
      </c>
      <c r="F792">
        <v>0.307</v>
      </c>
      <c r="G792">
        <v>4.1500000000000004</v>
      </c>
      <c r="H792">
        <v>6.7670000000000003</v>
      </c>
      <c r="I792">
        <v>23</v>
      </c>
      <c r="J792">
        <v>5.0700000000000002E-2</v>
      </c>
      <c r="K792">
        <v>7.2830000000000004</v>
      </c>
      <c r="L792">
        <v>0.46</v>
      </c>
      <c r="M792">
        <v>0.22</v>
      </c>
      <c r="N792">
        <v>0.44</v>
      </c>
      <c r="O792">
        <v>14.41</v>
      </c>
      <c r="P792" s="3">
        <v>39.82130847891672</v>
      </c>
      <c r="Q792" s="3">
        <v>1.6590711569370902</v>
      </c>
    </row>
    <row r="793" spans="1:17" x14ac:dyDescent="0.3">
      <c r="A793" t="s">
        <v>306</v>
      </c>
      <c r="B793" s="19" t="s">
        <v>177</v>
      </c>
      <c r="C793" s="21" t="s">
        <v>171</v>
      </c>
      <c r="D793" s="24">
        <v>4</v>
      </c>
      <c r="E793" t="s">
        <v>196</v>
      </c>
      <c r="F793">
        <v>0.33300000000000002</v>
      </c>
      <c r="G793">
        <v>4.28</v>
      </c>
      <c r="H793">
        <v>7.1580000000000004</v>
      </c>
      <c r="I793">
        <v>22.65</v>
      </c>
      <c r="J793">
        <v>3.4700000000000002E-2</v>
      </c>
      <c r="K793">
        <v>7.16</v>
      </c>
      <c r="L793">
        <v>0.3</v>
      </c>
      <c r="M793">
        <v>0.22800000000000001</v>
      </c>
      <c r="N793">
        <v>0.45</v>
      </c>
      <c r="O793">
        <v>14.87</v>
      </c>
      <c r="P793" s="3">
        <v>39.807441959076293</v>
      </c>
      <c r="Q793" s="3">
        <v>1.6260263169513383</v>
      </c>
    </row>
    <row r="794" spans="1:17" x14ac:dyDescent="0.3">
      <c r="A794" t="s">
        <v>306</v>
      </c>
      <c r="B794" s="19" t="s">
        <v>177</v>
      </c>
      <c r="C794" s="21" t="s">
        <v>171</v>
      </c>
      <c r="D794" s="24">
        <v>4</v>
      </c>
      <c r="E794" t="s">
        <v>196</v>
      </c>
      <c r="F794">
        <v>0.33300000000000002</v>
      </c>
      <c r="G794">
        <v>3.87</v>
      </c>
      <c r="H794">
        <v>7.22</v>
      </c>
      <c r="I794">
        <v>22.94</v>
      </c>
      <c r="J794">
        <v>4.2999999999999997E-2</v>
      </c>
      <c r="K794">
        <v>7.2190000000000003</v>
      </c>
      <c r="L794">
        <v>0.22</v>
      </c>
      <c r="M794">
        <v>0.23799999999999999</v>
      </c>
      <c r="N794">
        <v>0.44</v>
      </c>
      <c r="O794">
        <v>14.2</v>
      </c>
      <c r="P794" s="3">
        <v>38.506852057229644</v>
      </c>
      <c r="Q794" s="3">
        <v>1.6818134519997123</v>
      </c>
    </row>
    <row r="795" spans="1:17" x14ac:dyDescent="0.3">
      <c r="A795" t="s">
        <v>307</v>
      </c>
      <c r="B795" s="19" t="s">
        <v>165</v>
      </c>
      <c r="C795" s="21" t="s">
        <v>171</v>
      </c>
      <c r="D795" s="24">
        <v>4</v>
      </c>
      <c r="E795" t="s">
        <v>196</v>
      </c>
      <c r="F795">
        <v>0.14000000000000001</v>
      </c>
      <c r="G795">
        <v>6.09</v>
      </c>
      <c r="H795">
        <v>8.9629999999999992</v>
      </c>
      <c r="I795">
        <v>22.21</v>
      </c>
      <c r="J795">
        <v>0.02</v>
      </c>
      <c r="K795">
        <v>7.7560000000000002</v>
      </c>
      <c r="L795">
        <v>0.11</v>
      </c>
      <c r="M795">
        <v>0.24</v>
      </c>
      <c r="N795">
        <v>0.32</v>
      </c>
      <c r="O795">
        <v>10.49</v>
      </c>
      <c r="P795" s="3">
        <v>57.153668859459323</v>
      </c>
      <c r="Q795" s="3">
        <v>1.3704683771989963</v>
      </c>
    </row>
    <row r="796" spans="1:17" x14ac:dyDescent="0.3">
      <c r="A796" t="s">
        <v>307</v>
      </c>
      <c r="B796" s="19" t="s">
        <v>221</v>
      </c>
      <c r="C796" s="21" t="s">
        <v>171</v>
      </c>
      <c r="D796" s="24">
        <v>4</v>
      </c>
      <c r="E796" t="s">
        <v>196</v>
      </c>
      <c r="F796">
        <v>0.185</v>
      </c>
      <c r="G796">
        <v>6.43</v>
      </c>
      <c r="H796">
        <v>7.82</v>
      </c>
      <c r="I796">
        <v>22.65</v>
      </c>
      <c r="J796">
        <v>0.01</v>
      </c>
      <c r="K796">
        <v>6.97</v>
      </c>
      <c r="L796">
        <v>0.08</v>
      </c>
      <c r="M796">
        <v>0.42799999999999999</v>
      </c>
      <c r="N796">
        <v>0.36899999999999999</v>
      </c>
      <c r="O796">
        <v>11.2</v>
      </c>
      <c r="P796" s="3">
        <v>56.88004430861524</v>
      </c>
      <c r="Q796" s="3">
        <v>2.7617128394660244</v>
      </c>
    </row>
    <row r="797" spans="1:17" x14ac:dyDescent="0.3">
      <c r="A797" t="s">
        <v>308</v>
      </c>
      <c r="B797" s="19" t="s">
        <v>262</v>
      </c>
      <c r="C797" s="21" t="s">
        <v>171</v>
      </c>
      <c r="D797" s="24">
        <v>4</v>
      </c>
      <c r="E797" t="s">
        <v>196</v>
      </c>
      <c r="F797">
        <v>0.31</v>
      </c>
      <c r="G797">
        <v>4.2699999999999996</v>
      </c>
      <c r="H797">
        <v>6.7969999999999997</v>
      </c>
      <c r="I797">
        <v>23.04</v>
      </c>
      <c r="J797">
        <v>0.03</v>
      </c>
      <c r="K797">
        <v>7.4269999999999996</v>
      </c>
      <c r="L797">
        <v>0.36</v>
      </c>
      <c r="M797">
        <v>0.21</v>
      </c>
      <c r="N797">
        <v>0.41</v>
      </c>
      <c r="O797">
        <v>14.52</v>
      </c>
      <c r="P797" s="3">
        <v>40.323225815452084</v>
      </c>
      <c r="Q797" s="3">
        <v>1.5779692981984177</v>
      </c>
    </row>
    <row r="798" spans="1:17" x14ac:dyDescent="0.3">
      <c r="A798" t="s">
        <v>308</v>
      </c>
      <c r="B798" s="19" t="s">
        <v>221</v>
      </c>
      <c r="C798" s="21" t="s">
        <v>171</v>
      </c>
      <c r="D798" s="24">
        <v>4</v>
      </c>
      <c r="E798" t="s">
        <v>196</v>
      </c>
      <c r="F798">
        <v>0.30099999999999999</v>
      </c>
      <c r="G798">
        <v>4.1500000000000004</v>
      </c>
      <c r="H798">
        <v>6.96</v>
      </c>
      <c r="I798">
        <v>23</v>
      </c>
      <c r="J798">
        <v>2.7E-2</v>
      </c>
      <c r="K798">
        <v>7.4</v>
      </c>
      <c r="L798">
        <v>0.35</v>
      </c>
      <c r="M798">
        <v>0.2165</v>
      </c>
      <c r="N798">
        <v>0.42649999999999999</v>
      </c>
      <c r="O798">
        <v>14.31</v>
      </c>
      <c r="P798" s="3">
        <v>39.988306672650509</v>
      </c>
      <c r="Q798" s="3">
        <v>1.5885413817713547</v>
      </c>
    </row>
    <row r="799" spans="1:17" x14ac:dyDescent="0.3">
      <c r="A799" t="s">
        <v>308</v>
      </c>
      <c r="B799" s="19" t="s">
        <v>177</v>
      </c>
      <c r="C799" s="21" t="s">
        <v>171</v>
      </c>
      <c r="D799" s="24">
        <v>4</v>
      </c>
      <c r="E799" t="s">
        <v>196</v>
      </c>
      <c r="F799">
        <v>0.28899999999999998</v>
      </c>
      <c r="G799">
        <v>4.37</v>
      </c>
      <c r="H799">
        <v>6.29</v>
      </c>
      <c r="I799">
        <v>23.5</v>
      </c>
      <c r="J799">
        <v>2.4299999999999999E-2</v>
      </c>
      <c r="K799">
        <v>7.03</v>
      </c>
      <c r="L799">
        <v>0.35</v>
      </c>
      <c r="M799">
        <v>0.221</v>
      </c>
      <c r="N799">
        <v>0.45</v>
      </c>
      <c r="O799">
        <v>14.54</v>
      </c>
      <c r="P799" s="3">
        <v>40.848241242366257</v>
      </c>
      <c r="Q799" s="3">
        <v>1.7906012500915041</v>
      </c>
    </row>
    <row r="800" spans="1:17" x14ac:dyDescent="0.3">
      <c r="A800" t="s">
        <v>308</v>
      </c>
      <c r="B800" s="19" t="s">
        <v>220</v>
      </c>
      <c r="C800" s="21" t="s">
        <v>171</v>
      </c>
      <c r="D800" s="24">
        <v>4</v>
      </c>
      <c r="E800" t="s">
        <v>196</v>
      </c>
      <c r="F800">
        <v>0.33</v>
      </c>
      <c r="G800">
        <v>4.29</v>
      </c>
      <c r="H800">
        <v>6.7969999999999997</v>
      </c>
      <c r="I800">
        <v>22.92</v>
      </c>
      <c r="J800">
        <v>2.9499999999999998E-2</v>
      </c>
      <c r="K800">
        <v>7.3979999999999997</v>
      </c>
      <c r="L800">
        <v>0.37</v>
      </c>
      <c r="M800">
        <v>0.24</v>
      </c>
      <c r="N800">
        <v>0.432</v>
      </c>
      <c r="O800">
        <v>14.44</v>
      </c>
      <c r="P800" s="3">
        <v>40.568861426230349</v>
      </c>
      <c r="Q800" s="3">
        <v>1.7993373421082648</v>
      </c>
    </row>
    <row r="801" spans="1:17" x14ac:dyDescent="0.3">
      <c r="A801" t="s">
        <v>308</v>
      </c>
      <c r="B801" s="19" t="s">
        <v>262</v>
      </c>
      <c r="C801" s="21" t="s">
        <v>171</v>
      </c>
      <c r="D801" s="24">
        <v>4</v>
      </c>
      <c r="E801" t="s">
        <v>196</v>
      </c>
      <c r="F801">
        <v>0.31</v>
      </c>
      <c r="G801">
        <v>4.43</v>
      </c>
      <c r="H801">
        <v>6.75</v>
      </c>
      <c r="I801">
        <v>23.19</v>
      </c>
      <c r="J801">
        <v>0.03</v>
      </c>
      <c r="K801">
        <v>7.2409999999999997</v>
      </c>
      <c r="L801">
        <v>0.31</v>
      </c>
      <c r="M801">
        <v>0.25</v>
      </c>
      <c r="N801">
        <v>0.41</v>
      </c>
      <c r="O801">
        <v>14.18</v>
      </c>
      <c r="P801" s="3">
        <v>41.786717327807786</v>
      </c>
      <c r="Q801" s="3">
        <v>1.8857006277282273</v>
      </c>
    </row>
    <row r="802" spans="1:17" x14ac:dyDescent="0.3">
      <c r="A802" t="s">
        <v>309</v>
      </c>
      <c r="B802" s="19" t="s">
        <v>165</v>
      </c>
      <c r="C802" s="21" t="s">
        <v>171</v>
      </c>
      <c r="D802" s="24">
        <v>4</v>
      </c>
      <c r="E802" t="s">
        <v>196</v>
      </c>
      <c r="F802">
        <v>0.33</v>
      </c>
      <c r="G802">
        <v>4.24</v>
      </c>
      <c r="H802">
        <v>6.8449999999999998</v>
      </c>
      <c r="I802">
        <v>22.61</v>
      </c>
      <c r="J802">
        <v>0.05</v>
      </c>
      <c r="K802">
        <v>8.1920000000000002</v>
      </c>
      <c r="L802">
        <v>0.629</v>
      </c>
      <c r="M802">
        <v>0.12</v>
      </c>
      <c r="N802">
        <v>0.4</v>
      </c>
      <c r="O802">
        <v>14.01</v>
      </c>
      <c r="P802" s="3">
        <v>41.015850018668935</v>
      </c>
      <c r="Q802" s="3">
        <v>0.9015274545381341</v>
      </c>
    </row>
    <row r="803" spans="1:17" x14ac:dyDescent="0.3">
      <c r="A803" t="s">
        <v>309</v>
      </c>
      <c r="B803" s="19" t="s">
        <v>262</v>
      </c>
      <c r="C803" s="21" t="s">
        <v>171</v>
      </c>
      <c r="D803" s="24">
        <v>4</v>
      </c>
      <c r="E803" t="s">
        <v>196</v>
      </c>
      <c r="F803">
        <v>0.45</v>
      </c>
      <c r="G803">
        <v>3.84</v>
      </c>
      <c r="H803">
        <v>6.5330000000000004</v>
      </c>
      <c r="I803">
        <v>23.06</v>
      </c>
      <c r="J803">
        <v>7.0000000000000007E-2</v>
      </c>
      <c r="K803">
        <v>7.5629999999999997</v>
      </c>
      <c r="L803">
        <v>0.57999999999999996</v>
      </c>
      <c r="M803">
        <v>0.19</v>
      </c>
      <c r="N803">
        <v>0.39</v>
      </c>
      <c r="O803">
        <v>14.41</v>
      </c>
      <c r="P803" s="3">
        <v>37.976350670207196</v>
      </c>
      <c r="Q803" s="3">
        <v>1.486756223415421</v>
      </c>
    </row>
    <row r="804" spans="1:17" x14ac:dyDescent="0.3">
      <c r="A804" t="s">
        <v>309</v>
      </c>
      <c r="B804" s="19" t="s">
        <v>220</v>
      </c>
      <c r="C804" s="21" t="s">
        <v>171</v>
      </c>
      <c r="D804" s="24">
        <v>4</v>
      </c>
      <c r="E804" t="s">
        <v>196</v>
      </c>
      <c r="F804">
        <v>0.46</v>
      </c>
      <c r="G804">
        <v>4.2</v>
      </c>
      <c r="H804">
        <v>6.5279999999999996</v>
      </c>
      <c r="I804">
        <v>23.23</v>
      </c>
      <c r="J804">
        <v>5.5E-2</v>
      </c>
      <c r="K804">
        <v>7.6269999999999998</v>
      </c>
      <c r="L804">
        <v>0.58799999999999997</v>
      </c>
      <c r="M804">
        <v>0.23</v>
      </c>
      <c r="N804">
        <v>0.40700000000000003</v>
      </c>
      <c r="O804">
        <v>13.82</v>
      </c>
      <c r="P804" s="3">
        <v>41.116912244337357</v>
      </c>
      <c r="Q804" s="3">
        <v>1.7954913621955564</v>
      </c>
    </row>
    <row r="805" spans="1:17" x14ac:dyDescent="0.3">
      <c r="A805" t="s">
        <v>310</v>
      </c>
      <c r="B805" s="19" t="s">
        <v>177</v>
      </c>
      <c r="C805" s="21" t="s">
        <v>171</v>
      </c>
      <c r="D805" s="24">
        <v>4</v>
      </c>
      <c r="E805" t="s">
        <v>196</v>
      </c>
      <c r="F805">
        <v>0.14899999999999999</v>
      </c>
      <c r="G805">
        <v>7.74</v>
      </c>
      <c r="H805">
        <v>6.5620000000000003</v>
      </c>
      <c r="I805">
        <v>23.53</v>
      </c>
      <c r="J805">
        <v>8.6E-3</v>
      </c>
      <c r="K805">
        <v>6.02</v>
      </c>
      <c r="L805">
        <v>2.7E-2</v>
      </c>
      <c r="M805">
        <v>0.34300000000000003</v>
      </c>
      <c r="N805">
        <v>0.36</v>
      </c>
      <c r="O805">
        <v>11.27</v>
      </c>
      <c r="P805" s="3">
        <v>61.210170278549</v>
      </c>
      <c r="Q805" s="3">
        <v>2.6408212069137638</v>
      </c>
    </row>
    <row r="806" spans="1:17" x14ac:dyDescent="0.3">
      <c r="A806" t="s">
        <v>310</v>
      </c>
      <c r="B806" s="19" t="s">
        <v>177</v>
      </c>
      <c r="C806" s="21" t="s">
        <v>171</v>
      </c>
      <c r="D806" s="24">
        <v>4</v>
      </c>
      <c r="E806" t="s">
        <v>196</v>
      </c>
      <c r="F806">
        <v>0.17</v>
      </c>
      <c r="G806">
        <v>7.97</v>
      </c>
      <c r="H806">
        <v>6.3040000000000003</v>
      </c>
      <c r="I806">
        <v>22.98</v>
      </c>
      <c r="J806">
        <v>1.7399999999999999E-2</v>
      </c>
      <c r="K806">
        <v>5.77</v>
      </c>
      <c r="L806">
        <v>5.6000000000000001E-2</v>
      </c>
      <c r="M806">
        <v>0.439</v>
      </c>
      <c r="N806">
        <v>0.38</v>
      </c>
      <c r="O806">
        <v>11.95</v>
      </c>
      <c r="P806" s="3">
        <v>60.512149480360669</v>
      </c>
      <c r="Q806" s="3">
        <v>3.4876694840973035</v>
      </c>
    </row>
    <row r="807" spans="1:17" x14ac:dyDescent="0.3">
      <c r="A807" t="s">
        <v>311</v>
      </c>
      <c r="B807" s="19" t="s">
        <v>177</v>
      </c>
      <c r="C807" s="21" t="s">
        <v>171</v>
      </c>
      <c r="D807" s="24">
        <v>4</v>
      </c>
      <c r="E807" t="s">
        <v>196</v>
      </c>
      <c r="F807">
        <v>0.38</v>
      </c>
      <c r="G807">
        <v>4.1500000000000004</v>
      </c>
      <c r="H807">
        <v>7.04</v>
      </c>
      <c r="I807">
        <v>23.04</v>
      </c>
      <c r="J807">
        <v>4.9000000000000002E-2</v>
      </c>
      <c r="K807">
        <v>7.335</v>
      </c>
      <c r="L807">
        <v>0.43</v>
      </c>
      <c r="M807">
        <v>0.22800000000000001</v>
      </c>
      <c r="N807">
        <v>0.42</v>
      </c>
      <c r="O807">
        <v>14.49</v>
      </c>
      <c r="P807" s="3">
        <v>39.688710855740752</v>
      </c>
      <c r="Q807" s="3">
        <v>1.6528302660562229</v>
      </c>
    </row>
    <row r="808" spans="1:17" x14ac:dyDescent="0.3">
      <c r="A808" t="s">
        <v>311</v>
      </c>
      <c r="B808" s="19" t="s">
        <v>177</v>
      </c>
      <c r="C808" s="21" t="s">
        <v>171</v>
      </c>
      <c r="D808" s="24">
        <v>4</v>
      </c>
      <c r="E808" t="s">
        <v>196</v>
      </c>
      <c r="F808">
        <v>0.35</v>
      </c>
      <c r="G808">
        <v>4.22</v>
      </c>
      <c r="H808">
        <v>6.4599999999999991</v>
      </c>
      <c r="I808">
        <v>22.85</v>
      </c>
      <c r="J808">
        <v>3.4500000000000003E-2</v>
      </c>
      <c r="K808">
        <v>7.3949999999999996</v>
      </c>
      <c r="L808">
        <v>0.44</v>
      </c>
      <c r="M808">
        <v>0.27300000000000002</v>
      </c>
      <c r="N808">
        <v>0.42</v>
      </c>
      <c r="O808">
        <v>14.52</v>
      </c>
      <c r="P808" s="3">
        <v>40.040113868337826</v>
      </c>
      <c r="Q808" s="3">
        <v>2.145918755765269</v>
      </c>
    </row>
    <row r="809" spans="1:17" x14ac:dyDescent="0.3">
      <c r="A809" t="s">
        <v>312</v>
      </c>
      <c r="B809" s="19" t="s">
        <v>313</v>
      </c>
      <c r="C809" s="21" t="s">
        <v>171</v>
      </c>
      <c r="D809" s="24">
        <v>4</v>
      </c>
      <c r="E809" t="s">
        <v>196</v>
      </c>
      <c r="F809">
        <v>0.45</v>
      </c>
      <c r="G809">
        <v>3.68</v>
      </c>
      <c r="H809">
        <v>7.21</v>
      </c>
      <c r="I809">
        <v>22.72</v>
      </c>
      <c r="J809">
        <v>3.1E-2</v>
      </c>
      <c r="K809">
        <v>7.08</v>
      </c>
      <c r="L809">
        <v>0.4</v>
      </c>
      <c r="M809">
        <v>0.21</v>
      </c>
      <c r="N809">
        <v>0.5</v>
      </c>
      <c r="O809">
        <v>15.3</v>
      </c>
      <c r="P809" s="3">
        <v>35.593714391711053</v>
      </c>
      <c r="Q809" s="3">
        <v>1.4889265844745934</v>
      </c>
    </row>
    <row r="810" spans="1:17" x14ac:dyDescent="0.3">
      <c r="A810" t="s">
        <v>314</v>
      </c>
      <c r="B810" s="19" t="s">
        <v>315</v>
      </c>
      <c r="C810" s="21" t="s">
        <v>171</v>
      </c>
      <c r="D810" s="24">
        <v>4</v>
      </c>
      <c r="E810" t="s">
        <v>196</v>
      </c>
      <c r="F810">
        <v>0.18</v>
      </c>
      <c r="G810">
        <v>5.6</v>
      </c>
      <c r="H810">
        <v>7.5430000000000001</v>
      </c>
      <c r="I810">
        <v>22.4</v>
      </c>
      <c r="J810">
        <v>1.2E-2</v>
      </c>
      <c r="K810">
        <v>6.97</v>
      </c>
      <c r="L810">
        <v>0.02</v>
      </c>
      <c r="M810">
        <v>0.23</v>
      </c>
      <c r="N810">
        <v>0.41</v>
      </c>
      <c r="O810">
        <v>12.48</v>
      </c>
      <c r="P810" s="3">
        <v>50.763369187077068</v>
      </c>
      <c r="Q810" s="3">
        <v>1.5576500858077236</v>
      </c>
    </row>
    <row r="811" spans="1:17" x14ac:dyDescent="0.3">
      <c r="A811" t="s">
        <v>316</v>
      </c>
      <c r="B811" s="19" t="s">
        <v>177</v>
      </c>
      <c r="C811" s="21" t="s">
        <v>171</v>
      </c>
      <c r="D811" s="24">
        <v>4</v>
      </c>
      <c r="E811" t="s">
        <v>196</v>
      </c>
      <c r="F811">
        <v>0.34</v>
      </c>
      <c r="G811">
        <v>4.8</v>
      </c>
      <c r="H811">
        <v>6.3449999999999998</v>
      </c>
      <c r="I811">
        <v>23.83</v>
      </c>
      <c r="J811">
        <v>4.5100000000000001E-2</v>
      </c>
      <c r="K811">
        <v>6.68</v>
      </c>
      <c r="L811">
        <v>0.48</v>
      </c>
      <c r="M811">
        <v>0.26</v>
      </c>
      <c r="N811">
        <v>0.4</v>
      </c>
      <c r="O811">
        <v>13.58</v>
      </c>
      <c r="P811" s="3">
        <v>44.81658214877033</v>
      </c>
      <c r="Q811" s="3">
        <v>2.0821301900329785</v>
      </c>
    </row>
    <row r="812" spans="1:17" x14ac:dyDescent="0.3">
      <c r="A812" t="s">
        <v>316</v>
      </c>
      <c r="B812" s="19" t="s">
        <v>177</v>
      </c>
      <c r="C812" s="21" t="s">
        <v>171</v>
      </c>
      <c r="D812" s="24">
        <v>4</v>
      </c>
      <c r="E812" t="s">
        <v>196</v>
      </c>
      <c r="F812">
        <v>0.35</v>
      </c>
      <c r="G812">
        <v>4.9000000000000004</v>
      </c>
      <c r="H812">
        <v>6.3280000000000003</v>
      </c>
      <c r="I812">
        <v>23.83</v>
      </c>
      <c r="J812">
        <v>4.1500000000000002E-2</v>
      </c>
      <c r="K812">
        <v>6.71</v>
      </c>
      <c r="L812">
        <v>0.47</v>
      </c>
      <c r="M812">
        <v>0.26200000000000001</v>
      </c>
      <c r="N812">
        <v>0.41</v>
      </c>
      <c r="O812">
        <v>13.59</v>
      </c>
      <c r="P812" s="3">
        <v>45.308810588770889</v>
      </c>
      <c r="Q812" s="3">
        <v>2.1033277563022228</v>
      </c>
    </row>
    <row r="813" spans="1:17" x14ac:dyDescent="0.3">
      <c r="A813" t="s">
        <v>316</v>
      </c>
      <c r="B813" s="19" t="s">
        <v>186</v>
      </c>
      <c r="C813" s="21" t="s">
        <v>171</v>
      </c>
      <c r="D813" s="24">
        <v>4</v>
      </c>
      <c r="E813" t="s">
        <v>196</v>
      </c>
      <c r="F813">
        <v>0.43</v>
      </c>
      <c r="G813">
        <v>5</v>
      </c>
      <c r="H813">
        <v>5.4790000000000001</v>
      </c>
      <c r="I813">
        <v>22.93</v>
      </c>
      <c r="J813">
        <v>0.06</v>
      </c>
      <c r="K813">
        <v>6.78</v>
      </c>
      <c r="L813">
        <v>0.65300000000000002</v>
      </c>
      <c r="M813">
        <v>0.3</v>
      </c>
      <c r="N813">
        <v>0.41</v>
      </c>
      <c r="O813">
        <v>15.04</v>
      </c>
      <c r="P813" s="3">
        <v>43.305992410963128</v>
      </c>
      <c r="Q813" s="3">
        <v>2.7628442563128153</v>
      </c>
    </row>
    <row r="814" spans="1:17" x14ac:dyDescent="0.3">
      <c r="A814" t="s">
        <v>317</v>
      </c>
      <c r="B814" s="19" t="s">
        <v>165</v>
      </c>
      <c r="C814" s="21" t="s">
        <v>171</v>
      </c>
      <c r="D814" s="24">
        <v>4</v>
      </c>
      <c r="E814" t="s">
        <v>196</v>
      </c>
      <c r="F814">
        <v>0.27</v>
      </c>
      <c r="G814">
        <v>4.92</v>
      </c>
      <c r="H814">
        <v>5.7919999999999998</v>
      </c>
      <c r="I814">
        <v>22.02</v>
      </c>
      <c r="J814">
        <v>0.03</v>
      </c>
      <c r="K814">
        <v>6.76</v>
      </c>
      <c r="L814">
        <v>0.4</v>
      </c>
      <c r="M814">
        <v>0.23</v>
      </c>
      <c r="N814">
        <v>0.48</v>
      </c>
      <c r="O814">
        <v>16.78</v>
      </c>
      <c r="P814" s="3">
        <v>40.251873987412452</v>
      </c>
      <c r="Q814" s="3">
        <v>2.0190411523184824</v>
      </c>
    </row>
    <row r="815" spans="1:17" x14ac:dyDescent="0.3">
      <c r="A815" t="s">
        <v>318</v>
      </c>
      <c r="B815" s="19" t="s">
        <v>186</v>
      </c>
      <c r="C815" s="21" t="s">
        <v>171</v>
      </c>
      <c r="D815" s="24">
        <v>4</v>
      </c>
      <c r="E815" t="s">
        <v>196</v>
      </c>
      <c r="F815">
        <v>0.38</v>
      </c>
      <c r="G815">
        <v>4.8600000000000003</v>
      </c>
      <c r="H815">
        <v>5.7279999999999998</v>
      </c>
      <c r="I815">
        <v>23.08</v>
      </c>
      <c r="J815">
        <v>0.05</v>
      </c>
      <c r="K815">
        <v>6.8</v>
      </c>
      <c r="L815">
        <v>0.623</v>
      </c>
      <c r="M815">
        <v>0.23</v>
      </c>
      <c r="N815">
        <v>0.39</v>
      </c>
      <c r="O815">
        <v>14.6</v>
      </c>
      <c r="P815" s="3">
        <v>43.337723950623044</v>
      </c>
      <c r="Q815" s="3">
        <v>2.0411398081801018</v>
      </c>
    </row>
    <row r="816" spans="1:17" x14ac:dyDescent="0.3">
      <c r="A816" t="s">
        <v>318</v>
      </c>
      <c r="B816" s="19" t="s">
        <v>177</v>
      </c>
      <c r="C816" s="21" t="s">
        <v>171</v>
      </c>
      <c r="D816" s="24">
        <v>4</v>
      </c>
      <c r="E816" t="s">
        <v>196</v>
      </c>
      <c r="F816">
        <v>0.39</v>
      </c>
      <c r="G816">
        <v>4.5</v>
      </c>
      <c r="H816">
        <v>6.3550000000000004</v>
      </c>
      <c r="I816">
        <v>23.11</v>
      </c>
      <c r="J816">
        <v>4.9799999999999997E-2</v>
      </c>
      <c r="K816">
        <v>7.07</v>
      </c>
      <c r="L816">
        <v>0.51</v>
      </c>
      <c r="M816">
        <v>0.26900000000000002</v>
      </c>
      <c r="N816">
        <v>0.38</v>
      </c>
      <c r="O816">
        <v>14.48</v>
      </c>
      <c r="P816" s="3">
        <v>41.658868484774437</v>
      </c>
      <c r="Q816" s="3">
        <v>2.1493378989985863</v>
      </c>
    </row>
    <row r="817" spans="1:17" x14ac:dyDescent="0.3">
      <c r="A817" t="s">
        <v>318</v>
      </c>
      <c r="B817" s="19" t="s">
        <v>173</v>
      </c>
      <c r="C817" s="21" t="s">
        <v>171</v>
      </c>
      <c r="D817" s="24">
        <v>4</v>
      </c>
      <c r="E817" t="s">
        <v>196</v>
      </c>
      <c r="F817">
        <v>0.38</v>
      </c>
      <c r="G817">
        <v>4.57</v>
      </c>
      <c r="H817">
        <v>6.05</v>
      </c>
      <c r="I817">
        <v>22.57</v>
      </c>
      <c r="J817">
        <v>4.4999999999999998E-2</v>
      </c>
      <c r="K817">
        <v>7.11</v>
      </c>
      <c r="L817">
        <v>0.54</v>
      </c>
      <c r="M817">
        <v>0.27100000000000002</v>
      </c>
      <c r="N817">
        <v>0.41099999999999998</v>
      </c>
      <c r="O817">
        <v>14.43</v>
      </c>
      <c r="P817" s="3">
        <v>42.118804263443074</v>
      </c>
      <c r="Q817" s="3">
        <v>2.2716360261569557</v>
      </c>
    </row>
    <row r="818" spans="1:17" x14ac:dyDescent="0.3">
      <c r="A818" t="s">
        <v>319</v>
      </c>
      <c r="B818" s="19" t="s">
        <v>165</v>
      </c>
      <c r="C818" s="21" t="s">
        <v>171</v>
      </c>
      <c r="D818" s="24">
        <v>4</v>
      </c>
      <c r="E818" t="s">
        <v>196</v>
      </c>
      <c r="F818">
        <v>0.41</v>
      </c>
      <c r="G818">
        <v>4.55</v>
      </c>
      <c r="H818">
        <v>5.7549999999999999</v>
      </c>
      <c r="I818">
        <v>22.56</v>
      </c>
      <c r="J818">
        <v>0.04</v>
      </c>
      <c r="K818">
        <v>7.3</v>
      </c>
      <c r="L818">
        <v>0.61699999999999999</v>
      </c>
      <c r="M818">
        <v>0.27</v>
      </c>
      <c r="N818">
        <v>0.42</v>
      </c>
      <c r="O818">
        <v>15.31</v>
      </c>
      <c r="P818" s="3">
        <v>40.576973042184477</v>
      </c>
      <c r="Q818" s="3">
        <v>2.3767093872376974</v>
      </c>
    </row>
    <row r="819" spans="1:17" x14ac:dyDescent="0.3">
      <c r="A819" t="s">
        <v>320</v>
      </c>
      <c r="B819" s="19" t="s">
        <v>165</v>
      </c>
      <c r="C819" s="21" t="s">
        <v>171</v>
      </c>
      <c r="D819" s="24">
        <v>4</v>
      </c>
      <c r="E819" t="s">
        <v>196</v>
      </c>
      <c r="F819">
        <v>0.33</v>
      </c>
      <c r="G819">
        <v>4.78</v>
      </c>
      <c r="H819">
        <v>6.056</v>
      </c>
      <c r="I819">
        <v>22.61</v>
      </c>
      <c r="J819">
        <v>0.03</v>
      </c>
      <c r="K819">
        <v>7.1189999999999998</v>
      </c>
      <c r="L819">
        <v>0.47</v>
      </c>
      <c r="M819">
        <v>0.27</v>
      </c>
      <c r="N819">
        <v>0.41</v>
      </c>
      <c r="O819">
        <v>15.32</v>
      </c>
      <c r="P819" s="3">
        <v>41.755445909903095</v>
      </c>
      <c r="Q819" s="3">
        <v>2.2612515323913822</v>
      </c>
    </row>
    <row r="820" spans="1:17" x14ac:dyDescent="0.3">
      <c r="A820" t="s">
        <v>320</v>
      </c>
      <c r="B820" s="19" t="s">
        <v>177</v>
      </c>
      <c r="C820" s="21" t="s">
        <v>171</v>
      </c>
      <c r="D820" s="24">
        <v>4</v>
      </c>
      <c r="E820" t="s">
        <v>196</v>
      </c>
      <c r="F820">
        <v>0.32</v>
      </c>
      <c r="G820">
        <v>4.3499999999999996</v>
      </c>
      <c r="H820">
        <v>6.2640000000000002</v>
      </c>
      <c r="I820">
        <v>23.16</v>
      </c>
      <c r="J820">
        <v>4.0599999999999997E-2</v>
      </c>
      <c r="K820">
        <v>7.1820000000000004</v>
      </c>
      <c r="L820">
        <v>0.6</v>
      </c>
      <c r="M820">
        <v>0.34200000000000003</v>
      </c>
      <c r="N820">
        <v>0.36</v>
      </c>
      <c r="O820">
        <v>14.57</v>
      </c>
      <c r="P820" s="3">
        <v>40.68769998338496</v>
      </c>
      <c r="Q820" s="3">
        <v>2.7551495206227501</v>
      </c>
    </row>
    <row r="821" spans="1:17" x14ac:dyDescent="0.3">
      <c r="A821" t="s">
        <v>321</v>
      </c>
      <c r="B821" s="19" t="s">
        <v>322</v>
      </c>
      <c r="C821" s="21" t="s">
        <v>171</v>
      </c>
      <c r="D821" s="24">
        <v>4</v>
      </c>
      <c r="E821" t="s">
        <v>196</v>
      </c>
      <c r="F821">
        <v>0.38</v>
      </c>
      <c r="G821">
        <v>4.88</v>
      </c>
      <c r="H821">
        <v>6.0609999999999999</v>
      </c>
      <c r="I821">
        <v>22.78</v>
      </c>
      <c r="J821">
        <v>0.05</v>
      </c>
      <c r="K821">
        <v>7.2050000000000001</v>
      </c>
      <c r="L821">
        <v>0.5</v>
      </c>
      <c r="M821">
        <v>0.27</v>
      </c>
      <c r="N821">
        <v>0.42</v>
      </c>
      <c r="O821">
        <v>14.74</v>
      </c>
      <c r="P821" s="3">
        <v>43.204271287913215</v>
      </c>
      <c r="Q821" s="3">
        <v>2.2594282687582847</v>
      </c>
    </row>
    <row r="822" spans="1:17" x14ac:dyDescent="0.3">
      <c r="A822" t="s">
        <v>323</v>
      </c>
      <c r="B822" s="19" t="s">
        <v>177</v>
      </c>
      <c r="C822" s="21" t="s">
        <v>171</v>
      </c>
      <c r="D822" s="24">
        <v>4</v>
      </c>
      <c r="E822" t="s">
        <v>196</v>
      </c>
      <c r="F822">
        <v>0.35</v>
      </c>
      <c r="G822">
        <v>4.55</v>
      </c>
      <c r="H822">
        <v>6.2930000000000001</v>
      </c>
      <c r="I822">
        <v>23.05</v>
      </c>
      <c r="J822">
        <v>4.9500000000000002E-2</v>
      </c>
      <c r="K822">
        <v>7.09</v>
      </c>
      <c r="L822">
        <v>0.5</v>
      </c>
      <c r="M822">
        <v>0.26400000000000001</v>
      </c>
      <c r="N822">
        <v>0.37</v>
      </c>
      <c r="O822">
        <v>14.49</v>
      </c>
      <c r="P822" s="3">
        <v>41.910863104516075</v>
      </c>
      <c r="Q822" s="3">
        <v>2.1305779193144523</v>
      </c>
    </row>
    <row r="823" spans="1:17" x14ac:dyDescent="0.3">
      <c r="A823" t="s">
        <v>323</v>
      </c>
      <c r="B823" s="19" t="s">
        <v>322</v>
      </c>
      <c r="C823" s="21" t="s">
        <v>171</v>
      </c>
      <c r="D823" s="24">
        <v>4</v>
      </c>
      <c r="E823" t="s">
        <v>196</v>
      </c>
      <c r="F823">
        <v>0.38</v>
      </c>
      <c r="G823">
        <v>4.9000000000000004</v>
      </c>
      <c r="H823">
        <v>5.9080000000000004</v>
      </c>
      <c r="I823">
        <v>22.64</v>
      </c>
      <c r="J823">
        <v>0.06</v>
      </c>
      <c r="K823">
        <v>7.2480000000000002</v>
      </c>
      <c r="L823">
        <v>0.6</v>
      </c>
      <c r="M823">
        <v>0.27</v>
      </c>
      <c r="N823">
        <v>0.42</v>
      </c>
      <c r="O823">
        <v>14.61</v>
      </c>
      <c r="P823" s="3">
        <v>43.522282902115364</v>
      </c>
      <c r="Q823" s="3">
        <v>2.3165853883578853</v>
      </c>
    </row>
    <row r="824" spans="1:17" x14ac:dyDescent="0.3">
      <c r="A824" t="s">
        <v>324</v>
      </c>
      <c r="B824" s="19" t="s">
        <v>322</v>
      </c>
      <c r="C824" s="21" t="s">
        <v>171</v>
      </c>
      <c r="D824" s="24">
        <v>4</v>
      </c>
      <c r="E824" t="s">
        <v>196</v>
      </c>
      <c r="F824">
        <v>0.34</v>
      </c>
      <c r="G824">
        <v>4.82</v>
      </c>
      <c r="H824">
        <v>6.056</v>
      </c>
      <c r="I824">
        <v>22.75</v>
      </c>
      <c r="J824">
        <v>0.04</v>
      </c>
      <c r="K824">
        <v>7.3049999999999997</v>
      </c>
      <c r="L824">
        <v>0.5</v>
      </c>
      <c r="M824">
        <v>0.25</v>
      </c>
      <c r="N824">
        <v>0.43</v>
      </c>
      <c r="O824">
        <v>14.94</v>
      </c>
      <c r="P824" s="3">
        <v>42.571141451638617</v>
      </c>
      <c r="Q824" s="3">
        <v>2.0972643390293984</v>
      </c>
    </row>
    <row r="825" spans="1:17" x14ac:dyDescent="0.3">
      <c r="A825" t="s">
        <v>325</v>
      </c>
      <c r="B825" s="19" t="s">
        <v>165</v>
      </c>
      <c r="C825" s="21" t="s">
        <v>171</v>
      </c>
      <c r="D825" s="24">
        <v>4</v>
      </c>
      <c r="E825" t="s">
        <v>196</v>
      </c>
      <c r="F825">
        <v>0.34</v>
      </c>
      <c r="G825">
        <v>4.72</v>
      </c>
      <c r="H825">
        <v>6.2629999999999999</v>
      </c>
      <c r="I825">
        <v>22.65</v>
      </c>
      <c r="J825">
        <v>0.05</v>
      </c>
      <c r="K825">
        <v>7.1909999999999998</v>
      </c>
      <c r="L825">
        <v>0.54</v>
      </c>
      <c r="M825">
        <v>0.27</v>
      </c>
      <c r="N825">
        <v>0.42</v>
      </c>
      <c r="O825">
        <v>14.47</v>
      </c>
      <c r="P825" s="3">
        <v>42.840276019888442</v>
      </c>
      <c r="Q825" s="3">
        <v>2.1881496967670264</v>
      </c>
    </row>
    <row r="826" spans="1:17" x14ac:dyDescent="0.3">
      <c r="A826" t="s">
        <v>326</v>
      </c>
      <c r="B826" s="19" t="s">
        <v>322</v>
      </c>
      <c r="C826" s="21" t="s">
        <v>171</v>
      </c>
      <c r="D826" s="24">
        <v>4</v>
      </c>
      <c r="E826" t="s">
        <v>196</v>
      </c>
      <c r="F826">
        <v>0.34</v>
      </c>
      <c r="G826">
        <v>4.71</v>
      </c>
      <c r="H826">
        <v>5.6059999999999999</v>
      </c>
      <c r="I826">
        <v>22.15</v>
      </c>
      <c r="J826">
        <v>0.06</v>
      </c>
      <c r="K826">
        <v>7.141</v>
      </c>
      <c r="L826">
        <v>0.6</v>
      </c>
      <c r="M826">
        <v>0.25</v>
      </c>
      <c r="N826">
        <v>0.42</v>
      </c>
      <c r="O826">
        <v>14.73</v>
      </c>
      <c r="P826" s="3">
        <v>42.352964192794502</v>
      </c>
      <c r="Q826" s="3">
        <v>2.2618063879246719</v>
      </c>
    </row>
    <row r="827" spans="1:17" x14ac:dyDescent="0.3">
      <c r="A827" t="s">
        <v>327</v>
      </c>
      <c r="B827" s="19" t="s">
        <v>177</v>
      </c>
      <c r="C827" s="21" t="s">
        <v>171</v>
      </c>
      <c r="D827" s="24">
        <v>4</v>
      </c>
      <c r="E827" t="s">
        <v>196</v>
      </c>
      <c r="F827">
        <v>0.34</v>
      </c>
      <c r="G827">
        <v>4.49</v>
      </c>
      <c r="H827">
        <v>6.52</v>
      </c>
      <c r="I827">
        <v>23.28</v>
      </c>
      <c r="J827">
        <v>3.5299999999999998E-2</v>
      </c>
      <c r="K827">
        <v>6.61</v>
      </c>
      <c r="L827">
        <v>0.48</v>
      </c>
      <c r="M827">
        <v>0.23599999999999999</v>
      </c>
      <c r="N827">
        <v>0.39</v>
      </c>
      <c r="O827">
        <v>14.16</v>
      </c>
      <c r="P827" s="3">
        <v>42.148739075632271</v>
      </c>
      <c r="Q827" s="3">
        <v>1.8436855560766408</v>
      </c>
    </row>
    <row r="828" spans="1:17" x14ac:dyDescent="0.3">
      <c r="A828" t="s">
        <v>327</v>
      </c>
      <c r="B828" s="19" t="s">
        <v>322</v>
      </c>
      <c r="C828" s="21" t="s">
        <v>171</v>
      </c>
      <c r="D828" s="24">
        <v>4</v>
      </c>
      <c r="E828" t="s">
        <v>196</v>
      </c>
      <c r="F828">
        <v>0.37</v>
      </c>
      <c r="G828">
        <v>4.4400000000000004</v>
      </c>
      <c r="H828">
        <v>7.2629999999999999</v>
      </c>
      <c r="I828">
        <v>22.55</v>
      </c>
      <c r="J828">
        <v>0.05</v>
      </c>
      <c r="K828">
        <v>7.4119999999999999</v>
      </c>
      <c r="L828">
        <v>0.52</v>
      </c>
      <c r="M828">
        <v>0.25</v>
      </c>
      <c r="N828">
        <v>0.39</v>
      </c>
      <c r="O828">
        <v>13.97</v>
      </c>
      <c r="P828" s="3">
        <v>42.205089714739408</v>
      </c>
      <c r="Q828" s="3">
        <v>1.7548471711910425</v>
      </c>
    </row>
    <row r="829" spans="1:17" x14ac:dyDescent="0.3">
      <c r="A829" t="s">
        <v>328</v>
      </c>
      <c r="B829" s="19" t="s">
        <v>165</v>
      </c>
      <c r="C829" s="21" t="s">
        <v>171</v>
      </c>
      <c r="D829" s="24">
        <v>4</v>
      </c>
      <c r="E829" t="s">
        <v>196</v>
      </c>
      <c r="F829">
        <v>0.45</v>
      </c>
      <c r="G829">
        <v>4.54</v>
      </c>
      <c r="H829">
        <v>6.093</v>
      </c>
      <c r="I829">
        <v>22.47</v>
      </c>
      <c r="J829">
        <v>7.0000000000000007E-2</v>
      </c>
      <c r="K829">
        <v>6.71</v>
      </c>
      <c r="L829">
        <v>0.59</v>
      </c>
      <c r="M829">
        <v>0.28000000000000003</v>
      </c>
      <c r="N829">
        <v>0.43</v>
      </c>
      <c r="O829">
        <v>15.09</v>
      </c>
      <c r="P829" s="3">
        <v>40.873256636419143</v>
      </c>
      <c r="Q829" s="3">
        <v>2.3291424824556839</v>
      </c>
    </row>
    <row r="830" spans="1:17" x14ac:dyDescent="0.3">
      <c r="A830" t="s">
        <v>328</v>
      </c>
      <c r="B830" s="19" t="s">
        <v>322</v>
      </c>
      <c r="C830" s="21" t="s">
        <v>171</v>
      </c>
      <c r="D830" s="24">
        <v>4</v>
      </c>
      <c r="E830" t="s">
        <v>196</v>
      </c>
      <c r="F830">
        <v>0.45</v>
      </c>
      <c r="G830">
        <v>4.54</v>
      </c>
      <c r="H830">
        <v>6.093</v>
      </c>
      <c r="I830">
        <v>22.47</v>
      </c>
      <c r="J830">
        <v>7.0000000000000007E-2</v>
      </c>
      <c r="K830">
        <v>6.7119999999999997</v>
      </c>
      <c r="L830">
        <v>0.59</v>
      </c>
      <c r="M830">
        <v>0.28000000000000003</v>
      </c>
      <c r="N830">
        <v>0.43</v>
      </c>
      <c r="O830">
        <v>15.09</v>
      </c>
      <c r="P830" s="3">
        <v>40.873256636419143</v>
      </c>
      <c r="Q830" s="3">
        <v>2.3291424824556839</v>
      </c>
    </row>
    <row r="831" spans="1:17" x14ac:dyDescent="0.3">
      <c r="A831" t="s">
        <v>329</v>
      </c>
      <c r="B831" s="19" t="s">
        <v>177</v>
      </c>
      <c r="C831" s="21" t="s">
        <v>171</v>
      </c>
      <c r="D831" s="24">
        <v>4</v>
      </c>
      <c r="E831" t="s">
        <v>196</v>
      </c>
      <c r="F831">
        <v>0.37</v>
      </c>
      <c r="G831">
        <v>4.6399999999999997</v>
      </c>
      <c r="H831">
        <v>6.1349999999999998</v>
      </c>
      <c r="I831">
        <v>23.38</v>
      </c>
      <c r="J831">
        <v>5.0700000000000002E-2</v>
      </c>
      <c r="K831">
        <v>7.01</v>
      </c>
      <c r="L831">
        <v>0.53</v>
      </c>
      <c r="M831">
        <v>0.27300000000000002</v>
      </c>
      <c r="N831">
        <v>0.43</v>
      </c>
      <c r="O831">
        <v>14.33</v>
      </c>
      <c r="P831" s="3">
        <v>42.659847785220379</v>
      </c>
      <c r="Q831" s="3">
        <v>2.2570324507532513</v>
      </c>
    </row>
    <row r="832" spans="1:17" x14ac:dyDescent="0.3">
      <c r="A832" t="s">
        <v>329</v>
      </c>
      <c r="B832" s="19" t="s">
        <v>177</v>
      </c>
      <c r="C832" s="21" t="s">
        <v>171</v>
      </c>
      <c r="D832" s="24">
        <v>4</v>
      </c>
      <c r="E832" t="s">
        <v>196</v>
      </c>
      <c r="F832">
        <v>0.38</v>
      </c>
      <c r="G832">
        <v>4.5</v>
      </c>
      <c r="H832">
        <v>5.9089999999999998</v>
      </c>
      <c r="I832">
        <v>23.13</v>
      </c>
      <c r="J832">
        <v>4.4999999999999998E-2</v>
      </c>
      <c r="K832">
        <v>7.2430000000000003</v>
      </c>
      <c r="L832">
        <v>0.53</v>
      </c>
      <c r="M832">
        <v>0.29699999999999999</v>
      </c>
      <c r="N832">
        <v>0.42</v>
      </c>
      <c r="O832">
        <v>14.69</v>
      </c>
      <c r="P832" s="3">
        <v>41.309346972788944</v>
      </c>
      <c r="Q832" s="3">
        <v>2.541935031768169</v>
      </c>
    </row>
    <row r="833" spans="1:17" x14ac:dyDescent="0.3">
      <c r="A833" t="s">
        <v>329</v>
      </c>
      <c r="B833" s="19" t="s">
        <v>165</v>
      </c>
      <c r="C833" s="21" t="s">
        <v>171</v>
      </c>
      <c r="D833" s="24">
        <v>4</v>
      </c>
      <c r="E833" t="s">
        <v>196</v>
      </c>
      <c r="F833">
        <v>0.36</v>
      </c>
      <c r="G833">
        <v>4.8</v>
      </c>
      <c r="H833">
        <v>5.95</v>
      </c>
      <c r="I833">
        <v>22.51</v>
      </c>
      <c r="J833">
        <v>7.0000000000000007E-2</v>
      </c>
      <c r="K833">
        <v>7</v>
      </c>
      <c r="L833">
        <v>0.54</v>
      </c>
      <c r="M833">
        <v>0.3</v>
      </c>
      <c r="N833">
        <v>0.43</v>
      </c>
      <c r="O833">
        <v>14.76</v>
      </c>
      <c r="P833" s="3">
        <v>42.76594461563203</v>
      </c>
      <c r="Q833" s="3">
        <v>2.549714808417026</v>
      </c>
    </row>
    <row r="834" spans="1:17" x14ac:dyDescent="0.3">
      <c r="A834" t="s">
        <v>330</v>
      </c>
      <c r="B834" s="19" t="s">
        <v>177</v>
      </c>
      <c r="C834" s="21" t="s">
        <v>171</v>
      </c>
      <c r="D834" s="24">
        <v>4</v>
      </c>
      <c r="E834" t="s">
        <v>196</v>
      </c>
      <c r="F834">
        <v>0.27700000000000002</v>
      </c>
      <c r="G834">
        <v>4.47</v>
      </c>
      <c r="H834">
        <v>7.2039999999999997</v>
      </c>
      <c r="I834">
        <v>23.84</v>
      </c>
      <c r="J834">
        <v>3.0700000000000002E-2</v>
      </c>
      <c r="K834">
        <v>7.2290000000000001</v>
      </c>
      <c r="L834">
        <v>0.13</v>
      </c>
      <c r="M834">
        <v>0.215</v>
      </c>
      <c r="N834">
        <v>0.42</v>
      </c>
      <c r="O834">
        <v>12.46</v>
      </c>
      <c r="P834" s="3">
        <v>45.184046589532102</v>
      </c>
      <c r="Q834" s="3">
        <v>1.525086810880544</v>
      </c>
    </row>
    <row r="835" spans="1:17" x14ac:dyDescent="0.3">
      <c r="A835" t="s">
        <v>330</v>
      </c>
      <c r="B835" s="19" t="s">
        <v>331</v>
      </c>
      <c r="C835" s="21" t="s">
        <v>171</v>
      </c>
      <c r="D835" s="24">
        <v>4</v>
      </c>
      <c r="E835" t="s">
        <v>196</v>
      </c>
      <c r="F835">
        <v>0.26</v>
      </c>
      <c r="G835">
        <v>4.58</v>
      </c>
      <c r="H835">
        <v>6.86</v>
      </c>
      <c r="I835">
        <v>23.24</v>
      </c>
      <c r="J835">
        <v>0.03</v>
      </c>
      <c r="K835">
        <v>7.6</v>
      </c>
      <c r="L835">
        <v>0.16</v>
      </c>
      <c r="M835">
        <v>0.22</v>
      </c>
      <c r="N835">
        <v>0.43</v>
      </c>
      <c r="O835">
        <v>13.69</v>
      </c>
      <c r="P835" s="3">
        <v>43.460949518657898</v>
      </c>
      <c r="Q835" s="3">
        <v>1.6369475546054557</v>
      </c>
    </row>
    <row r="836" spans="1:17" x14ac:dyDescent="0.3">
      <c r="A836" t="s">
        <v>330</v>
      </c>
      <c r="B836" s="19" t="s">
        <v>177</v>
      </c>
      <c r="C836" s="21" t="s">
        <v>171</v>
      </c>
      <c r="D836" s="24">
        <v>4</v>
      </c>
      <c r="E836" t="s">
        <v>196</v>
      </c>
      <c r="F836">
        <v>0.28799999999999998</v>
      </c>
      <c r="G836">
        <v>4.57</v>
      </c>
      <c r="H836">
        <v>6.9340000000000002</v>
      </c>
      <c r="I836">
        <v>23.54</v>
      </c>
      <c r="J836">
        <v>3.95E-2</v>
      </c>
      <c r="K836">
        <v>7.2640000000000002</v>
      </c>
      <c r="L836">
        <v>0.17</v>
      </c>
      <c r="M836">
        <v>0.22</v>
      </c>
      <c r="N836">
        <v>0.43</v>
      </c>
      <c r="O836">
        <v>13.1</v>
      </c>
      <c r="P836" s="3">
        <v>44.492410877374873</v>
      </c>
      <c r="Q836" s="3">
        <v>1.6197609327559686</v>
      </c>
    </row>
    <row r="837" spans="1:17" x14ac:dyDescent="0.3">
      <c r="A837" t="s">
        <v>330</v>
      </c>
      <c r="B837" s="19" t="s">
        <v>191</v>
      </c>
      <c r="C837" s="21" t="s">
        <v>171</v>
      </c>
      <c r="D837" s="24">
        <v>4</v>
      </c>
      <c r="E837" t="s">
        <v>196</v>
      </c>
      <c r="F837">
        <v>0.3</v>
      </c>
      <c r="G837">
        <v>4.5999999999999996</v>
      </c>
      <c r="H837">
        <v>7.04</v>
      </c>
      <c r="I837">
        <v>23</v>
      </c>
      <c r="J837">
        <v>0.02</v>
      </c>
      <c r="K837">
        <v>7.51</v>
      </c>
      <c r="L837">
        <v>0.15</v>
      </c>
      <c r="M837">
        <v>0.23</v>
      </c>
      <c r="N837">
        <v>0.45</v>
      </c>
      <c r="O837">
        <v>13.4</v>
      </c>
      <c r="P837" s="3">
        <v>44.095170742257629</v>
      </c>
      <c r="Q837" s="3">
        <v>1.6670870743573607</v>
      </c>
    </row>
    <row r="838" spans="1:17" x14ac:dyDescent="0.3">
      <c r="A838" t="s">
        <v>330</v>
      </c>
      <c r="B838" s="19" t="s">
        <v>165</v>
      </c>
      <c r="C838" s="21" t="s">
        <v>171</v>
      </c>
      <c r="D838" s="24">
        <v>4</v>
      </c>
      <c r="E838" t="s">
        <v>196</v>
      </c>
      <c r="F838">
        <v>0.28000000000000003</v>
      </c>
      <c r="G838">
        <v>4.59</v>
      </c>
      <c r="H838">
        <v>6.9770000000000003</v>
      </c>
      <c r="I838">
        <v>22.83</v>
      </c>
      <c r="J838">
        <v>0.03</v>
      </c>
      <c r="K838">
        <v>7.4909999999999997</v>
      </c>
      <c r="L838">
        <v>7.0000000000000007E-2</v>
      </c>
      <c r="M838">
        <v>0.24</v>
      </c>
      <c r="N838">
        <v>0.41</v>
      </c>
      <c r="O838">
        <v>13.81</v>
      </c>
      <c r="P838" s="3">
        <v>43.300160512016781</v>
      </c>
      <c r="Q838" s="3">
        <v>1.7537302434394275</v>
      </c>
    </row>
    <row r="839" spans="1:17" x14ac:dyDescent="0.3">
      <c r="A839" t="s">
        <v>330</v>
      </c>
      <c r="B839" s="19" t="s">
        <v>165</v>
      </c>
      <c r="C839" s="21" t="s">
        <v>171</v>
      </c>
      <c r="D839" s="24">
        <v>4</v>
      </c>
      <c r="E839" t="s">
        <v>196</v>
      </c>
      <c r="F839">
        <v>0.3</v>
      </c>
      <c r="G839">
        <v>4.75</v>
      </c>
      <c r="H839">
        <v>7.3319999999999999</v>
      </c>
      <c r="I839">
        <v>22.84</v>
      </c>
      <c r="J839">
        <v>0.04</v>
      </c>
      <c r="K839">
        <v>7.52</v>
      </c>
      <c r="L839">
        <v>0.06</v>
      </c>
      <c r="M839">
        <v>6.8000000000000005E-2</v>
      </c>
      <c r="N839">
        <v>0.22</v>
      </c>
      <c r="O839">
        <v>13.74</v>
      </c>
      <c r="P839" s="3">
        <v>44.268583643134768</v>
      </c>
      <c r="Q839" s="3">
        <v>0.47896693656446332</v>
      </c>
    </row>
    <row r="840" spans="1:17" x14ac:dyDescent="0.3">
      <c r="A840" t="s">
        <v>332</v>
      </c>
      <c r="B840" s="19" t="s">
        <v>177</v>
      </c>
      <c r="C840" s="21" t="s">
        <v>171</v>
      </c>
      <c r="D840" s="24">
        <v>4</v>
      </c>
      <c r="E840" t="s">
        <v>196</v>
      </c>
      <c r="F840">
        <v>0.14899999999999999</v>
      </c>
      <c r="G840">
        <v>6.8</v>
      </c>
      <c r="H840">
        <v>6.9109999999999996</v>
      </c>
      <c r="I840">
        <v>23.39</v>
      </c>
      <c r="J840">
        <v>1.1299999999999999E-2</v>
      </c>
      <c r="K840">
        <v>6.72</v>
      </c>
      <c r="L840">
        <v>0.13</v>
      </c>
      <c r="M840">
        <v>0.252</v>
      </c>
      <c r="N840">
        <v>0.4</v>
      </c>
      <c r="O840">
        <v>11.01</v>
      </c>
      <c r="P840" s="3">
        <v>58.662159635204809</v>
      </c>
      <c r="Q840" s="3">
        <v>1.8570473209134049</v>
      </c>
    </row>
    <row r="841" spans="1:17" x14ac:dyDescent="0.3">
      <c r="A841" t="s">
        <v>333</v>
      </c>
      <c r="B841" s="19" t="s">
        <v>177</v>
      </c>
      <c r="C841" s="21" t="s">
        <v>171</v>
      </c>
      <c r="D841" s="24">
        <v>4</v>
      </c>
      <c r="E841" t="s">
        <v>196</v>
      </c>
      <c r="F841">
        <v>0.39</v>
      </c>
      <c r="G841">
        <v>4.55</v>
      </c>
      <c r="H841">
        <v>6.0679999999999996</v>
      </c>
      <c r="I841">
        <v>23.17</v>
      </c>
      <c r="J841">
        <v>5.0999999999999997E-2</v>
      </c>
      <c r="K841">
        <v>6.99</v>
      </c>
      <c r="L841">
        <v>0.62</v>
      </c>
      <c r="M841">
        <v>0.253</v>
      </c>
      <c r="N841">
        <v>0.39</v>
      </c>
      <c r="O841">
        <v>14.41</v>
      </c>
      <c r="P841" s="3">
        <v>42.045709147554859</v>
      </c>
      <c r="Q841" s="3">
        <v>2.1177901193918163</v>
      </c>
    </row>
    <row r="842" spans="1:17" x14ac:dyDescent="0.3">
      <c r="A842" t="s">
        <v>333</v>
      </c>
      <c r="B842" s="19" t="s">
        <v>177</v>
      </c>
      <c r="C842" s="21" t="s">
        <v>171</v>
      </c>
      <c r="D842" s="24">
        <v>4</v>
      </c>
      <c r="E842" t="s">
        <v>196</v>
      </c>
      <c r="F842">
        <v>0.38</v>
      </c>
      <c r="G842">
        <v>4.75</v>
      </c>
      <c r="H842">
        <v>6.07</v>
      </c>
      <c r="I842">
        <v>23</v>
      </c>
      <c r="J842">
        <v>5.7599999999999998E-2</v>
      </c>
      <c r="K842">
        <v>7</v>
      </c>
      <c r="L842">
        <v>0.49</v>
      </c>
      <c r="M842">
        <v>0.25900000000000001</v>
      </c>
      <c r="N842">
        <v>0.4</v>
      </c>
      <c r="O842">
        <v>14.81</v>
      </c>
      <c r="P842" s="3">
        <v>42.42721131478671</v>
      </c>
      <c r="Q842" s="3">
        <v>2.1662275556372577</v>
      </c>
    </row>
    <row r="843" spans="1:17" x14ac:dyDescent="0.3">
      <c r="A843" t="s">
        <v>333</v>
      </c>
      <c r="B843" s="19" t="s">
        <v>165</v>
      </c>
      <c r="C843" s="21" t="s">
        <v>171</v>
      </c>
      <c r="D843" s="24">
        <v>4</v>
      </c>
      <c r="E843" t="s">
        <v>196</v>
      </c>
      <c r="F843">
        <v>0.35</v>
      </c>
      <c r="G843">
        <v>4.55</v>
      </c>
      <c r="H843">
        <v>6.0090000000000003</v>
      </c>
      <c r="I843">
        <v>22.95</v>
      </c>
      <c r="J843">
        <v>0.05</v>
      </c>
      <c r="K843">
        <v>7.1980000000000004</v>
      </c>
      <c r="L843">
        <v>0.59</v>
      </c>
      <c r="M843">
        <v>0.27</v>
      </c>
      <c r="N843">
        <v>0.4</v>
      </c>
      <c r="O843">
        <v>14.35</v>
      </c>
      <c r="P843" s="3">
        <v>42.147414498777927</v>
      </c>
      <c r="Q843" s="3">
        <v>2.2785351439260908</v>
      </c>
    </row>
    <row r="844" spans="1:17" x14ac:dyDescent="0.3">
      <c r="A844" t="s">
        <v>334</v>
      </c>
      <c r="B844" s="19" t="s">
        <v>165</v>
      </c>
      <c r="C844" s="21" t="s">
        <v>171</v>
      </c>
      <c r="D844" s="24">
        <v>4</v>
      </c>
      <c r="E844" t="s">
        <v>196</v>
      </c>
      <c r="F844">
        <v>0.27</v>
      </c>
      <c r="G844">
        <v>5.54</v>
      </c>
      <c r="H844">
        <v>6.1520000000000001</v>
      </c>
      <c r="I844">
        <v>23.14</v>
      </c>
      <c r="J844">
        <v>0.02</v>
      </c>
      <c r="K844">
        <v>6.23</v>
      </c>
      <c r="L844">
        <v>0.39</v>
      </c>
      <c r="M844">
        <v>0.32</v>
      </c>
      <c r="N844">
        <v>0.4</v>
      </c>
      <c r="O844">
        <v>14.33</v>
      </c>
      <c r="P844" s="3">
        <v>47.04188767667528</v>
      </c>
      <c r="Q844" s="3">
        <v>2.6282744942529508</v>
      </c>
    </row>
    <row r="845" spans="1:17" x14ac:dyDescent="0.3">
      <c r="A845" t="s">
        <v>335</v>
      </c>
      <c r="B845" s="19" t="s">
        <v>165</v>
      </c>
      <c r="C845" s="21" t="s">
        <v>171</v>
      </c>
      <c r="D845" s="24">
        <v>4</v>
      </c>
      <c r="E845" t="s">
        <v>196</v>
      </c>
      <c r="F845">
        <v>0.34</v>
      </c>
      <c r="G845">
        <v>3.96</v>
      </c>
      <c r="H845">
        <v>6.4059999999999997</v>
      </c>
      <c r="I845">
        <v>22.42</v>
      </c>
      <c r="J845">
        <v>0.04</v>
      </c>
      <c r="K845">
        <v>7.11</v>
      </c>
      <c r="L845">
        <v>0.44</v>
      </c>
      <c r="M845">
        <v>0.21</v>
      </c>
      <c r="N845">
        <v>0.41</v>
      </c>
      <c r="O845">
        <v>15.04</v>
      </c>
      <c r="P845" s="3">
        <v>37.693657368567642</v>
      </c>
      <c r="Q845" s="3">
        <v>1.6726720523788992</v>
      </c>
    </row>
    <row r="846" spans="1:17" x14ac:dyDescent="0.3">
      <c r="A846" t="s">
        <v>336</v>
      </c>
      <c r="B846" s="19" t="s">
        <v>165</v>
      </c>
      <c r="C846" s="21" t="s">
        <v>171</v>
      </c>
      <c r="D846" s="24">
        <v>4</v>
      </c>
      <c r="E846" t="s">
        <v>196</v>
      </c>
      <c r="F846">
        <v>0.33</v>
      </c>
      <c r="G846">
        <v>4.08</v>
      </c>
      <c r="H846">
        <v>6.4749999999999996</v>
      </c>
      <c r="I846">
        <v>22.59</v>
      </c>
      <c r="J846">
        <v>0.06</v>
      </c>
      <c r="K846">
        <v>7.1689999999999996</v>
      </c>
      <c r="L846">
        <v>0.43</v>
      </c>
      <c r="M846">
        <v>0.23</v>
      </c>
      <c r="N846">
        <v>0.43</v>
      </c>
      <c r="O846">
        <v>14.9</v>
      </c>
      <c r="P846" s="3">
        <v>38.618754386711274</v>
      </c>
      <c r="Q846" s="3">
        <v>1.8099220496875932</v>
      </c>
    </row>
    <row r="847" spans="1:17" x14ac:dyDescent="0.3">
      <c r="A847" t="s">
        <v>337</v>
      </c>
      <c r="B847" s="19" t="s">
        <v>322</v>
      </c>
      <c r="C847" s="21" t="s">
        <v>171</v>
      </c>
      <c r="D847" s="24">
        <v>4</v>
      </c>
      <c r="E847" t="s">
        <v>196</v>
      </c>
      <c r="F847">
        <v>0.39</v>
      </c>
      <c r="G847">
        <v>3.68</v>
      </c>
      <c r="H847">
        <v>6.3319999999999999</v>
      </c>
      <c r="I847">
        <v>22.56</v>
      </c>
      <c r="J847">
        <v>0.04</v>
      </c>
      <c r="K847">
        <v>7.806</v>
      </c>
      <c r="L847">
        <v>0.56000000000000005</v>
      </c>
      <c r="M847">
        <v>0.19</v>
      </c>
      <c r="N847">
        <v>0.46</v>
      </c>
      <c r="O847">
        <v>15.52</v>
      </c>
      <c r="P847" s="3">
        <v>35.267104518920824</v>
      </c>
      <c r="Q847" s="3">
        <v>1.5332275017620551</v>
      </c>
    </row>
    <row r="848" spans="1:17" x14ac:dyDescent="0.3">
      <c r="A848" t="s">
        <v>338</v>
      </c>
      <c r="B848" s="19" t="s">
        <v>177</v>
      </c>
      <c r="C848" s="21" t="s">
        <v>171</v>
      </c>
      <c r="D848" s="24">
        <v>4</v>
      </c>
      <c r="E848" t="s">
        <v>196</v>
      </c>
      <c r="F848">
        <v>0.41</v>
      </c>
      <c r="G848">
        <v>3.39</v>
      </c>
      <c r="H848">
        <v>6.484</v>
      </c>
      <c r="I848">
        <v>23.11</v>
      </c>
      <c r="J848">
        <v>4.1099999999999998E-2</v>
      </c>
      <c r="K848">
        <v>7.2320000000000002</v>
      </c>
      <c r="L848">
        <v>0.55000000000000004</v>
      </c>
      <c r="M848">
        <v>0.19900000000000001</v>
      </c>
      <c r="N848">
        <v>0.42</v>
      </c>
      <c r="O848">
        <v>15.18</v>
      </c>
      <c r="P848" s="3">
        <v>33.911267321428049</v>
      </c>
      <c r="Q848" s="3">
        <v>1.567660730275898</v>
      </c>
    </row>
    <row r="849" spans="1:17" x14ac:dyDescent="0.3">
      <c r="A849" t="s">
        <v>338</v>
      </c>
      <c r="B849" s="19" t="s">
        <v>177</v>
      </c>
      <c r="C849" s="21" t="s">
        <v>171</v>
      </c>
      <c r="D849" s="24">
        <v>4</v>
      </c>
      <c r="E849" t="s">
        <v>196</v>
      </c>
      <c r="F849">
        <v>0.41</v>
      </c>
      <c r="G849">
        <v>3.46</v>
      </c>
      <c r="H849">
        <v>6.4749999999999996</v>
      </c>
      <c r="I849">
        <v>23.11</v>
      </c>
      <c r="J849">
        <v>4.9000000000000002E-2</v>
      </c>
      <c r="K849">
        <v>7.2380000000000004</v>
      </c>
      <c r="L849">
        <v>0.55000000000000004</v>
      </c>
      <c r="M849">
        <v>0.2</v>
      </c>
      <c r="N849">
        <v>0.43</v>
      </c>
      <c r="O849">
        <v>15.18</v>
      </c>
      <c r="P849" s="3">
        <v>34.370824243614429</v>
      </c>
      <c r="Q849" s="3">
        <v>1.5775695361043995</v>
      </c>
    </row>
    <row r="850" spans="1:17" x14ac:dyDescent="0.3">
      <c r="A850" t="s">
        <v>338</v>
      </c>
      <c r="B850" s="19" t="s">
        <v>165</v>
      </c>
      <c r="C850" s="21" t="s">
        <v>171</v>
      </c>
      <c r="D850" s="24">
        <v>4</v>
      </c>
      <c r="E850" t="s">
        <v>196</v>
      </c>
      <c r="F850">
        <v>0.61</v>
      </c>
      <c r="G850">
        <v>3.62</v>
      </c>
      <c r="H850">
        <v>6.2309999999999999</v>
      </c>
      <c r="I850">
        <v>22.47</v>
      </c>
      <c r="J850">
        <v>7.0000000000000007E-2</v>
      </c>
      <c r="K850">
        <v>7.5979999999999999</v>
      </c>
      <c r="L850">
        <v>0.55000000000000004</v>
      </c>
      <c r="M850">
        <v>0.2</v>
      </c>
      <c r="N850">
        <v>0.43</v>
      </c>
      <c r="O850">
        <v>15.75</v>
      </c>
      <c r="P850" s="3">
        <v>34.559283400401718</v>
      </c>
      <c r="Q850" s="3">
        <v>1.6383335513770581</v>
      </c>
    </row>
    <row r="851" spans="1:17" x14ac:dyDescent="0.3">
      <c r="A851" t="s">
        <v>339</v>
      </c>
      <c r="B851" s="19" t="s">
        <v>165</v>
      </c>
      <c r="C851" s="21" t="s">
        <v>171</v>
      </c>
      <c r="D851" s="24">
        <v>4</v>
      </c>
      <c r="E851" t="s">
        <v>196</v>
      </c>
      <c r="F851">
        <v>0.63</v>
      </c>
      <c r="G851">
        <v>4.2</v>
      </c>
      <c r="H851">
        <v>6.5120000000000005</v>
      </c>
      <c r="I851">
        <v>22.39</v>
      </c>
      <c r="J851">
        <v>8.3000000000000004E-2</v>
      </c>
      <c r="K851">
        <v>7.5979999999999999</v>
      </c>
      <c r="L851">
        <v>0.61699999999999999</v>
      </c>
      <c r="M851">
        <v>0.25</v>
      </c>
      <c r="N851">
        <v>0.43</v>
      </c>
      <c r="O851">
        <v>14.59</v>
      </c>
      <c r="P851" s="3">
        <v>39.810818455698588</v>
      </c>
      <c r="Q851" s="3">
        <v>1.953272882672175</v>
      </c>
    </row>
    <row r="852" spans="1:17" x14ac:dyDescent="0.3">
      <c r="A852" t="s">
        <v>340</v>
      </c>
      <c r="B852" s="19" t="s">
        <v>165</v>
      </c>
      <c r="C852" s="21" t="s">
        <v>171</v>
      </c>
      <c r="D852" s="24">
        <v>4</v>
      </c>
      <c r="E852" t="s">
        <v>196</v>
      </c>
      <c r="F852">
        <v>0.56000000000000005</v>
      </c>
      <c r="G852">
        <v>4.93</v>
      </c>
      <c r="H852">
        <v>6.093</v>
      </c>
      <c r="I852">
        <v>22.34</v>
      </c>
      <c r="J852">
        <v>8.3000000000000004E-2</v>
      </c>
      <c r="K852">
        <v>7.2910000000000004</v>
      </c>
      <c r="L852">
        <v>0.6</v>
      </c>
      <c r="M852">
        <v>0.28000000000000003</v>
      </c>
      <c r="N852">
        <v>0.46</v>
      </c>
      <c r="O852">
        <v>14.84</v>
      </c>
      <c r="P852" s="3">
        <v>43.28851612978292</v>
      </c>
      <c r="Q852" s="3">
        <v>2.3291424824556839</v>
      </c>
    </row>
    <row r="853" spans="1:17" x14ac:dyDescent="0.3">
      <c r="A853" t="s">
        <v>341</v>
      </c>
      <c r="B853" s="19" t="s">
        <v>177</v>
      </c>
      <c r="C853" s="21" t="s">
        <v>171</v>
      </c>
      <c r="D853" s="24">
        <v>4</v>
      </c>
      <c r="E853" t="s">
        <v>196</v>
      </c>
      <c r="F853">
        <v>0.37</v>
      </c>
      <c r="G853">
        <v>5</v>
      </c>
      <c r="H853">
        <v>6.1840000000000002</v>
      </c>
      <c r="I853">
        <v>22.98</v>
      </c>
      <c r="J853">
        <v>4.6199999999999998E-2</v>
      </c>
      <c r="K853">
        <v>6.85</v>
      </c>
      <c r="L853">
        <v>0.49</v>
      </c>
      <c r="M853">
        <v>0.25600000000000001</v>
      </c>
      <c r="N853">
        <v>0.38</v>
      </c>
      <c r="O853">
        <v>14.17</v>
      </c>
      <c r="P853" s="3">
        <v>44.77437108424693</v>
      </c>
      <c r="Q853" s="3">
        <v>2.103022744457542</v>
      </c>
    </row>
    <row r="854" spans="1:17" x14ac:dyDescent="0.3">
      <c r="A854" t="s">
        <v>341</v>
      </c>
      <c r="B854" s="19" t="s">
        <v>177</v>
      </c>
      <c r="C854" s="21" t="s">
        <v>171</v>
      </c>
      <c r="D854" s="24">
        <v>4</v>
      </c>
      <c r="E854" t="s">
        <v>196</v>
      </c>
      <c r="F854">
        <v>0.38</v>
      </c>
      <c r="G854">
        <v>4.59</v>
      </c>
      <c r="H854">
        <v>6.3819999999999997</v>
      </c>
      <c r="I854">
        <v>23.1</v>
      </c>
      <c r="J854">
        <v>4.1399999999999999E-2</v>
      </c>
      <c r="K854">
        <v>7.1929999999999996</v>
      </c>
      <c r="L854">
        <v>0.54</v>
      </c>
      <c r="M854">
        <v>0.26200000000000001</v>
      </c>
      <c r="N854">
        <v>0.35</v>
      </c>
      <c r="O854">
        <v>13.79</v>
      </c>
      <c r="P854" s="3">
        <v>43.335745302788105</v>
      </c>
      <c r="Q854" s="3">
        <v>2.0859021001573068</v>
      </c>
    </row>
    <row r="855" spans="1:17" x14ac:dyDescent="0.3">
      <c r="A855" t="s">
        <v>341</v>
      </c>
      <c r="B855" s="19" t="s">
        <v>165</v>
      </c>
      <c r="C855" s="21" t="s">
        <v>171</v>
      </c>
      <c r="D855" s="24">
        <v>4</v>
      </c>
      <c r="E855" t="s">
        <v>196</v>
      </c>
      <c r="F855">
        <v>0.37</v>
      </c>
      <c r="G855">
        <v>4.6500000000000004</v>
      </c>
      <c r="H855">
        <v>5.8289999999999997</v>
      </c>
      <c r="I855">
        <v>22.87</v>
      </c>
      <c r="J855">
        <v>0.05</v>
      </c>
      <c r="K855">
        <v>7.1840000000000002</v>
      </c>
      <c r="L855">
        <v>0.59</v>
      </c>
      <c r="M855">
        <v>0.28999999999999998</v>
      </c>
      <c r="N855">
        <v>0.42</v>
      </c>
      <c r="O855">
        <v>14.98</v>
      </c>
      <c r="P855" s="3">
        <v>41.630732508545044</v>
      </c>
      <c r="Q855" s="3">
        <v>2.5167390851762552</v>
      </c>
    </row>
    <row r="856" spans="1:17" x14ac:dyDescent="0.3">
      <c r="A856" t="s">
        <v>342</v>
      </c>
      <c r="B856" s="19" t="s">
        <v>165</v>
      </c>
      <c r="C856" s="21" t="s">
        <v>171</v>
      </c>
      <c r="D856" s="24">
        <v>4</v>
      </c>
      <c r="E856" t="s">
        <v>196</v>
      </c>
      <c r="F856">
        <v>0.34</v>
      </c>
      <c r="G856">
        <v>4.63</v>
      </c>
      <c r="H856">
        <v>5.86</v>
      </c>
      <c r="I856">
        <v>22.31</v>
      </c>
      <c r="J856">
        <v>0.05</v>
      </c>
      <c r="K856">
        <v>6.52</v>
      </c>
      <c r="L856">
        <v>0.56000000000000005</v>
      </c>
      <c r="M856">
        <v>0.3</v>
      </c>
      <c r="N856">
        <v>0.42</v>
      </c>
      <c r="O856">
        <v>15.35</v>
      </c>
      <c r="P856" s="3">
        <v>40.93481598260793</v>
      </c>
      <c r="Q856" s="3">
        <v>2.5878608589833547</v>
      </c>
    </row>
    <row r="857" spans="1:17" x14ac:dyDescent="0.3">
      <c r="A857" t="s">
        <v>343</v>
      </c>
      <c r="B857" s="19" t="s">
        <v>165</v>
      </c>
      <c r="C857" s="21" t="s">
        <v>171</v>
      </c>
      <c r="D857" s="24">
        <v>4</v>
      </c>
      <c r="E857" t="s">
        <v>196</v>
      </c>
      <c r="F857">
        <v>0.28999999999999998</v>
      </c>
      <c r="G857">
        <v>4.55</v>
      </c>
      <c r="H857">
        <v>6.5170000000000003</v>
      </c>
      <c r="I857">
        <v>22.09</v>
      </c>
      <c r="J857">
        <v>0.02</v>
      </c>
      <c r="K857">
        <v>7.37</v>
      </c>
      <c r="L857">
        <v>0.41</v>
      </c>
      <c r="M857">
        <v>0.18</v>
      </c>
      <c r="N857">
        <v>0.45</v>
      </c>
      <c r="O857">
        <v>15.43</v>
      </c>
      <c r="P857" s="3">
        <v>40.388858484911246</v>
      </c>
      <c r="Q857" s="3">
        <v>1.4130207736362921</v>
      </c>
    </row>
    <row r="858" spans="1:17" x14ac:dyDescent="0.3">
      <c r="A858" t="s">
        <v>343</v>
      </c>
      <c r="B858" s="19" t="s">
        <v>177</v>
      </c>
      <c r="C858" s="21" t="s">
        <v>171</v>
      </c>
      <c r="D858" s="24">
        <v>4</v>
      </c>
      <c r="E858" t="s">
        <v>196</v>
      </c>
      <c r="F858">
        <v>0.28699999999999998</v>
      </c>
      <c r="G858">
        <v>4.08</v>
      </c>
      <c r="H858">
        <v>7.1509999999999998</v>
      </c>
      <c r="I858">
        <v>23.84</v>
      </c>
      <c r="J858">
        <v>2.7E-2</v>
      </c>
      <c r="K858">
        <v>7.3449999999999998</v>
      </c>
      <c r="L858">
        <v>0.15</v>
      </c>
      <c r="M858">
        <v>0.20200000000000001</v>
      </c>
      <c r="N858">
        <v>0.44</v>
      </c>
      <c r="O858">
        <v>13.4</v>
      </c>
      <c r="P858" s="3">
        <v>41.162304939926074</v>
      </c>
      <c r="Q858" s="3">
        <v>1.4446708406118678</v>
      </c>
    </row>
    <row r="859" spans="1:17" x14ac:dyDescent="0.3">
      <c r="A859" t="s">
        <v>344</v>
      </c>
      <c r="B859" s="19" t="s">
        <v>191</v>
      </c>
      <c r="C859" s="21" t="s">
        <v>171</v>
      </c>
      <c r="D859" s="24">
        <v>4</v>
      </c>
      <c r="E859" t="s">
        <v>196</v>
      </c>
      <c r="F859">
        <v>0.32</v>
      </c>
      <c r="G859">
        <v>4.3</v>
      </c>
      <c r="H859">
        <v>7.36</v>
      </c>
      <c r="I859">
        <v>22.9</v>
      </c>
      <c r="J859">
        <v>0.03</v>
      </c>
      <c r="K859">
        <v>7.36</v>
      </c>
      <c r="L859">
        <v>0.32</v>
      </c>
      <c r="M859">
        <v>0.21</v>
      </c>
      <c r="N859">
        <v>0.42</v>
      </c>
      <c r="O859">
        <v>13.8</v>
      </c>
      <c r="P859" s="3">
        <v>41.722983098554842</v>
      </c>
      <c r="Q859" s="3">
        <v>1.459024353842876</v>
      </c>
    </row>
    <row r="860" spans="1:17" x14ac:dyDescent="0.3">
      <c r="A860" t="s">
        <v>344</v>
      </c>
      <c r="B860" s="19" t="s">
        <v>165</v>
      </c>
      <c r="C860" s="21" t="s">
        <v>171</v>
      </c>
      <c r="D860" s="24">
        <v>4</v>
      </c>
      <c r="E860" t="s">
        <v>196</v>
      </c>
      <c r="F860">
        <v>0.36</v>
      </c>
      <c r="G860">
        <v>4.38</v>
      </c>
      <c r="H860">
        <v>7.327</v>
      </c>
      <c r="I860">
        <v>22.32</v>
      </c>
      <c r="J860">
        <v>0.04</v>
      </c>
      <c r="K860">
        <v>7.7409999999999997</v>
      </c>
      <c r="L860">
        <v>0.37</v>
      </c>
      <c r="M860">
        <v>0.25</v>
      </c>
      <c r="N860">
        <v>0.39</v>
      </c>
      <c r="O860">
        <v>13.76</v>
      </c>
      <c r="P860" s="3">
        <v>42.242675306745895</v>
      </c>
      <c r="Q860" s="3">
        <v>1.7397855822788819</v>
      </c>
    </row>
    <row r="861" spans="1:17" x14ac:dyDescent="0.3">
      <c r="A861" t="s">
        <v>345</v>
      </c>
      <c r="B861" s="19" t="s">
        <v>165</v>
      </c>
      <c r="C861" s="21" t="s">
        <v>171</v>
      </c>
      <c r="D861" s="24">
        <v>4</v>
      </c>
      <c r="E861" t="s">
        <v>196</v>
      </c>
      <c r="F861">
        <v>0.33</v>
      </c>
      <c r="G861">
        <v>4.32</v>
      </c>
      <c r="H861">
        <v>6.5120000000000005</v>
      </c>
      <c r="I861">
        <v>22.42</v>
      </c>
      <c r="J861">
        <v>0.03</v>
      </c>
      <c r="K861">
        <v>6.96</v>
      </c>
      <c r="L861">
        <v>0.25</v>
      </c>
      <c r="M861">
        <v>7.4999999999999997E-2</v>
      </c>
      <c r="N861">
        <v>0.23</v>
      </c>
      <c r="O861">
        <v>15.92</v>
      </c>
      <c r="P861" s="3">
        <v>38.404294269531633</v>
      </c>
      <c r="Q861" s="3">
        <v>0.59410500922956722</v>
      </c>
    </row>
    <row r="862" spans="1:17" x14ac:dyDescent="0.3">
      <c r="A862" t="s">
        <v>346</v>
      </c>
      <c r="B862" s="19" t="s">
        <v>177</v>
      </c>
      <c r="C862" s="21" t="s">
        <v>171</v>
      </c>
      <c r="D862" s="24">
        <v>4</v>
      </c>
      <c r="E862" t="s">
        <v>196</v>
      </c>
      <c r="F862">
        <v>0.34300000000000003</v>
      </c>
      <c r="G862">
        <v>4.07</v>
      </c>
      <c r="H862">
        <v>7.5640000000000001</v>
      </c>
      <c r="I862">
        <v>23.08</v>
      </c>
      <c r="J862">
        <v>4.2999999999999997E-2</v>
      </c>
      <c r="K862">
        <v>7.5140000000000002</v>
      </c>
      <c r="L862">
        <v>0.42</v>
      </c>
      <c r="M862">
        <v>0.20099999999999998</v>
      </c>
      <c r="N862">
        <v>0.43</v>
      </c>
      <c r="O862">
        <v>13.78</v>
      </c>
      <c r="P862" s="3">
        <v>40.427655365978012</v>
      </c>
      <c r="Q862" s="3">
        <v>1.3601942927899935</v>
      </c>
    </row>
    <row r="863" spans="1:17" x14ac:dyDescent="0.3">
      <c r="A863" t="s">
        <v>347</v>
      </c>
      <c r="B863" s="19" t="s">
        <v>165</v>
      </c>
      <c r="C863" s="21" t="s">
        <v>171</v>
      </c>
      <c r="D863" s="24">
        <v>4</v>
      </c>
      <c r="E863" t="s">
        <v>196</v>
      </c>
      <c r="F863">
        <v>0.3</v>
      </c>
      <c r="G863">
        <v>5.51</v>
      </c>
      <c r="H863">
        <v>7.157</v>
      </c>
      <c r="I863">
        <v>21.86</v>
      </c>
      <c r="J863">
        <v>0.03</v>
      </c>
      <c r="K863">
        <v>7.08</v>
      </c>
      <c r="L863">
        <v>0.52</v>
      </c>
      <c r="M863">
        <v>0.28999999999999998</v>
      </c>
      <c r="N863">
        <v>0.39</v>
      </c>
      <c r="O863">
        <v>13.7</v>
      </c>
      <c r="P863" s="3">
        <v>48.027691322928156</v>
      </c>
      <c r="Q863" s="3">
        <v>2.0593685834718789</v>
      </c>
    </row>
    <row r="864" spans="1:17" x14ac:dyDescent="0.3">
      <c r="A864" t="s">
        <v>348</v>
      </c>
      <c r="B864" s="19" t="s">
        <v>165</v>
      </c>
      <c r="C864" s="21" t="s">
        <v>171</v>
      </c>
      <c r="D864" s="24">
        <v>4</v>
      </c>
      <c r="E864" t="s">
        <v>196</v>
      </c>
      <c r="F864">
        <v>0.27</v>
      </c>
      <c r="G864">
        <v>5.0599999999999996</v>
      </c>
      <c r="H864">
        <v>6.141</v>
      </c>
      <c r="I864">
        <v>22.39</v>
      </c>
      <c r="J864">
        <v>0.04</v>
      </c>
      <c r="K864">
        <v>6.45</v>
      </c>
      <c r="L864">
        <v>0.44</v>
      </c>
      <c r="M864">
        <v>0.23</v>
      </c>
      <c r="N864">
        <v>0.36</v>
      </c>
      <c r="O864">
        <v>15.6</v>
      </c>
      <c r="P864" s="3">
        <v>42.702328746442866</v>
      </c>
      <c r="Q864" s="3">
        <v>1.9064843360499781</v>
      </c>
    </row>
    <row r="865" spans="1:17" x14ac:dyDescent="0.3">
      <c r="A865" t="s">
        <v>349</v>
      </c>
      <c r="B865" s="19" t="s">
        <v>177</v>
      </c>
      <c r="C865" s="21" t="s">
        <v>171</v>
      </c>
      <c r="D865" s="24">
        <v>4</v>
      </c>
      <c r="E865" t="s">
        <v>196</v>
      </c>
      <c r="F865">
        <v>0.3</v>
      </c>
      <c r="G865">
        <v>6.0620000000000003</v>
      </c>
      <c r="H865">
        <v>6.3460000000000001</v>
      </c>
      <c r="I865">
        <v>23.12</v>
      </c>
      <c r="J865">
        <v>2.1700000000000001E-2</v>
      </c>
      <c r="K865">
        <v>6.67</v>
      </c>
      <c r="L865">
        <v>0.28999999999999998</v>
      </c>
      <c r="M865">
        <v>0.32100000000000001</v>
      </c>
      <c r="N865">
        <v>0.39</v>
      </c>
      <c r="O865">
        <v>13.09</v>
      </c>
      <c r="P865" s="3">
        <v>51.551729136917487</v>
      </c>
      <c r="Q865" s="3">
        <v>2.5577406899429214</v>
      </c>
    </row>
    <row r="866" spans="1:17" x14ac:dyDescent="0.3">
      <c r="A866" t="s">
        <v>427</v>
      </c>
      <c r="B866" s="22" t="s">
        <v>428</v>
      </c>
      <c r="C866" s="21" t="s">
        <v>429</v>
      </c>
      <c r="D866" s="24">
        <v>4</v>
      </c>
      <c r="E866" t="s">
        <v>196</v>
      </c>
      <c r="F866">
        <v>0.17062876135465238</v>
      </c>
      <c r="G866">
        <v>11.156274811433107</v>
      </c>
      <c r="H866">
        <v>3.1702745167269839</v>
      </c>
      <c r="I866">
        <v>24.306709052477409</v>
      </c>
      <c r="J866">
        <v>1.6603004405754022E-2</v>
      </c>
      <c r="K866">
        <v>3.5448914884890415</v>
      </c>
      <c r="L866">
        <v>0.14384373630501471</v>
      </c>
      <c r="M866">
        <v>0.42809999999999998</v>
      </c>
      <c r="N866">
        <v>0.43369863399918246</v>
      </c>
      <c r="O866">
        <v>13.525179555704025</v>
      </c>
      <c r="P866" s="3">
        <v>65.460581334666671</v>
      </c>
      <c r="Q866" s="3">
        <v>6.5484578081312792</v>
      </c>
    </row>
    <row r="867" spans="1:17" x14ac:dyDescent="0.3">
      <c r="A867" t="s">
        <v>430</v>
      </c>
      <c r="B867" s="22" t="s">
        <v>428</v>
      </c>
      <c r="C867" s="21" t="s">
        <v>429</v>
      </c>
      <c r="D867" s="24">
        <v>4</v>
      </c>
      <c r="E867" t="s">
        <v>196</v>
      </c>
      <c r="F867">
        <v>0.29674567192113455</v>
      </c>
      <c r="G867">
        <v>4.0524414450178634</v>
      </c>
      <c r="H867">
        <v>6.7216170888869264</v>
      </c>
      <c r="I867">
        <v>23.091373599853537</v>
      </c>
      <c r="J867">
        <v>4.150751101438506E-2</v>
      </c>
      <c r="K867">
        <v>7.9331240972234598</v>
      </c>
      <c r="L867">
        <v>0.37159631878795468</v>
      </c>
      <c r="M867">
        <v>0.19400000000000001</v>
      </c>
      <c r="N867">
        <v>0.43369863399918246</v>
      </c>
      <c r="O867">
        <v>14.302488725572072</v>
      </c>
      <c r="P867" s="3">
        <v>39.431352849978722</v>
      </c>
      <c r="Q867" s="3">
        <v>1.4756244931503337</v>
      </c>
    </row>
    <row r="868" spans="1:17" x14ac:dyDescent="0.3">
      <c r="A868" t="s">
        <v>431</v>
      </c>
      <c r="B868" s="22" t="s">
        <v>428</v>
      </c>
      <c r="C868" s="21" t="s">
        <v>429</v>
      </c>
      <c r="D868" s="24">
        <v>4</v>
      </c>
      <c r="E868" t="s">
        <v>196</v>
      </c>
      <c r="F868">
        <v>0.37835073169944655</v>
      </c>
      <c r="G868">
        <v>3.4674908197697496</v>
      </c>
      <c r="H868">
        <v>6.5099126136463941</v>
      </c>
      <c r="I868">
        <v>23.371835627382122</v>
      </c>
      <c r="J868">
        <v>4.9809013217262069E-2</v>
      </c>
      <c r="K868">
        <v>7.5757761649160962</v>
      </c>
      <c r="L868">
        <v>0.53941401114380527</v>
      </c>
      <c r="M868">
        <v>0.18090000000000001</v>
      </c>
      <c r="N868">
        <v>0.42595401553491136</v>
      </c>
      <c r="O868">
        <v>14.92433606146651</v>
      </c>
      <c r="P868" s="3">
        <v>34.804039766801985</v>
      </c>
      <c r="Q868" s="3">
        <v>1.4215095262297941</v>
      </c>
    </row>
    <row r="869" spans="1:17" x14ac:dyDescent="0.3">
      <c r="A869" t="s">
        <v>434</v>
      </c>
      <c r="B869" s="22" t="s">
        <v>435</v>
      </c>
      <c r="C869" s="21" t="s">
        <v>436</v>
      </c>
      <c r="D869" s="24">
        <v>4</v>
      </c>
      <c r="E869" t="s">
        <v>196</v>
      </c>
      <c r="F869">
        <v>0.17150654340484361</v>
      </c>
      <c r="G869">
        <v>4.2672974162321609</v>
      </c>
      <c r="H869">
        <v>6.1273746350594935</v>
      </c>
      <c r="I869">
        <v>23.684276583399527</v>
      </c>
      <c r="J869">
        <v>2.1278207680361733E-2</v>
      </c>
      <c r="K869">
        <v>6.4769628115801359</v>
      </c>
      <c r="L869">
        <v>0.49813280333834259</v>
      </c>
      <c r="M869">
        <v>0.23522606882242486</v>
      </c>
      <c r="N869">
        <v>0.49399786027861664</v>
      </c>
      <c r="O869">
        <v>15.111231599619742</v>
      </c>
      <c r="P869" s="3">
        <v>39.351527119548997</v>
      </c>
      <c r="Q869" s="3">
        <v>1.9532084987796368</v>
      </c>
    </row>
    <row r="870" spans="1:17" x14ac:dyDescent="0.3">
      <c r="A870" t="s">
        <v>437</v>
      </c>
      <c r="B870" s="22" t="s">
        <v>435</v>
      </c>
      <c r="C870" s="21" t="s">
        <v>436</v>
      </c>
      <c r="D870" s="24">
        <v>4</v>
      </c>
      <c r="E870" t="s">
        <v>196</v>
      </c>
      <c r="F870">
        <v>0.28856603896415495</v>
      </c>
      <c r="G870">
        <v>3.8400141193950534</v>
      </c>
      <c r="H870">
        <v>6.7583325866160511</v>
      </c>
      <c r="I870">
        <v>22.854390263818246</v>
      </c>
      <c r="J870">
        <v>1.9443516754746083E-2</v>
      </c>
      <c r="K870">
        <v>7.2293749640406313</v>
      </c>
      <c r="L870">
        <v>0.36389576924660555</v>
      </c>
      <c r="M870">
        <v>0.19527807971211181</v>
      </c>
      <c r="N870">
        <v>0.54222278824782644</v>
      </c>
      <c r="O870">
        <v>15.38900386368352</v>
      </c>
      <c r="P870" s="3">
        <v>36.440880103412312</v>
      </c>
      <c r="Q870" s="3">
        <v>1.4772522295751691</v>
      </c>
    </row>
    <row r="871" spans="1:17" x14ac:dyDescent="0.3">
      <c r="A871" t="s">
        <v>438</v>
      </c>
      <c r="B871" s="22" t="s">
        <v>439</v>
      </c>
      <c r="C871" s="21" t="s">
        <v>440</v>
      </c>
      <c r="D871" s="24">
        <v>4</v>
      </c>
      <c r="E871" t="s">
        <v>196</v>
      </c>
      <c r="F871">
        <v>0.34216291048135994</v>
      </c>
      <c r="G871">
        <v>4.2368576133661771</v>
      </c>
      <c r="H871">
        <v>7.0774631097940617</v>
      </c>
      <c r="I871">
        <v>22.020420485499425</v>
      </c>
      <c r="J871">
        <v>4.2261949485292973E-2</v>
      </c>
      <c r="K871">
        <v>7.2356408769337754</v>
      </c>
      <c r="L871">
        <v>0.26708405279375191</v>
      </c>
      <c r="M871">
        <v>0.17739858425881633</v>
      </c>
      <c r="N871">
        <v>0.53773498516061069</v>
      </c>
      <c r="O871">
        <v>15.8934201517297</v>
      </c>
      <c r="P871" s="3">
        <v>37.984988709784659</v>
      </c>
      <c r="Q871" s="3">
        <v>1.2839978510476966</v>
      </c>
    </row>
    <row r="872" spans="1:17" x14ac:dyDescent="0.3">
      <c r="A872" t="s">
        <v>246</v>
      </c>
      <c r="B872" s="22" t="s">
        <v>439</v>
      </c>
      <c r="C872" s="21" t="s">
        <v>440</v>
      </c>
      <c r="D872" s="24">
        <v>4</v>
      </c>
      <c r="E872" t="s">
        <v>196</v>
      </c>
      <c r="F872">
        <v>0.30379634877723927</v>
      </c>
      <c r="G872">
        <v>4.0297880698704223</v>
      </c>
      <c r="H872">
        <v>6.4655951114068522</v>
      </c>
      <c r="I872">
        <v>22.314749905377472</v>
      </c>
      <c r="J872">
        <v>1.8900205036928755E-2</v>
      </c>
      <c r="K872">
        <v>7.2114419962888139</v>
      </c>
      <c r="L872">
        <v>0.2735326959229305</v>
      </c>
      <c r="M872">
        <v>0.11134313344786161</v>
      </c>
      <c r="N872">
        <v>0.57293365791404061</v>
      </c>
      <c r="O872">
        <v>16.580733043553394</v>
      </c>
      <c r="P872" s="3">
        <v>35.832773152274214</v>
      </c>
      <c r="Q872" s="3">
        <v>0.88571780961157098</v>
      </c>
    </row>
    <row r="873" spans="1:17" x14ac:dyDescent="0.3">
      <c r="A873" t="s">
        <v>254</v>
      </c>
      <c r="B873" s="22" t="s">
        <v>439</v>
      </c>
      <c r="C873" s="21" t="s">
        <v>440</v>
      </c>
      <c r="D873" s="24">
        <v>4</v>
      </c>
      <c r="E873" t="s">
        <v>196</v>
      </c>
      <c r="F873">
        <v>0.35463377218998687</v>
      </c>
      <c r="G873">
        <v>3.9568933683124539</v>
      </c>
      <c r="H873">
        <v>6.908779341474717</v>
      </c>
      <c r="I873">
        <v>22.793893011373569</v>
      </c>
      <c r="J873">
        <v>2.0422128897867185E-2</v>
      </c>
      <c r="K873">
        <v>7.4088156591329248</v>
      </c>
      <c r="L873">
        <v>0.32905521912584557</v>
      </c>
      <c r="M873">
        <v>0.13292111974909709</v>
      </c>
      <c r="N873">
        <v>0.52635765898533737</v>
      </c>
      <c r="O873">
        <v>15.001572785200628</v>
      </c>
      <c r="P873" s="3">
        <v>37.735317108115417</v>
      </c>
      <c r="Q873" s="3">
        <v>0.98851315751868274</v>
      </c>
    </row>
    <row r="874" spans="1:17" x14ac:dyDescent="0.3">
      <c r="A874" t="s">
        <v>441</v>
      </c>
      <c r="B874" s="22" t="s">
        <v>439</v>
      </c>
      <c r="C874" s="21" t="s">
        <v>440</v>
      </c>
      <c r="D874" s="24">
        <v>4</v>
      </c>
      <c r="E874" t="s">
        <v>196</v>
      </c>
      <c r="F874">
        <v>0.28627293681740396</v>
      </c>
      <c r="G874">
        <v>4.0363669636642889</v>
      </c>
      <c r="H874">
        <v>6.3637243570625506</v>
      </c>
      <c r="I874">
        <v>22.122391384131276</v>
      </c>
      <c r="J874">
        <v>1.5325832079264898E-2</v>
      </c>
      <c r="K874">
        <v>7.2765960053168248</v>
      </c>
      <c r="L874">
        <v>0.38482146182042698</v>
      </c>
      <c r="M874">
        <v>0.28902103117262073</v>
      </c>
      <c r="N874">
        <v>0.58413597418876695</v>
      </c>
      <c r="O874">
        <v>16.738371864598729</v>
      </c>
      <c r="P874" s="3">
        <v>35.652911546976476</v>
      </c>
      <c r="Q874" s="3">
        <v>2.3025315998983436</v>
      </c>
    </row>
    <row r="875" spans="1:17" x14ac:dyDescent="0.3">
      <c r="A875" t="s">
        <v>442</v>
      </c>
      <c r="B875" s="22" t="s">
        <v>439</v>
      </c>
      <c r="C875" s="21" t="s">
        <v>440</v>
      </c>
      <c r="D875" s="24">
        <v>4</v>
      </c>
      <c r="E875" t="s">
        <v>196</v>
      </c>
      <c r="F875">
        <v>0.31354348689301653</v>
      </c>
      <c r="G875">
        <v>4.4469894642026802</v>
      </c>
      <c r="H875">
        <v>5.8153672639102796</v>
      </c>
      <c r="I875">
        <v>21.274145929665277</v>
      </c>
      <c r="J875">
        <v>3.083824813342443E-2</v>
      </c>
      <c r="K875">
        <v>6.6214589840961118</v>
      </c>
      <c r="L875">
        <v>0.44290026000437094</v>
      </c>
      <c r="M875">
        <v>0.19952600172390211</v>
      </c>
      <c r="N875">
        <v>0.64857968014577494</v>
      </c>
      <c r="O875">
        <v>19.034633701017039</v>
      </c>
      <c r="P875" s="3">
        <v>34.929605797224021</v>
      </c>
      <c r="Q875" s="3">
        <v>1.7492917386998232</v>
      </c>
    </row>
    <row r="876" spans="1:17" x14ac:dyDescent="0.3">
      <c r="A876" t="s">
        <v>289</v>
      </c>
      <c r="B876" s="22" t="s">
        <v>439</v>
      </c>
      <c r="C876" s="21" t="s">
        <v>440</v>
      </c>
      <c r="D876" s="24">
        <v>4</v>
      </c>
      <c r="E876" t="s">
        <v>196</v>
      </c>
      <c r="F876">
        <v>0.33060915701110299</v>
      </c>
      <c r="G876">
        <v>3.8011205592151782</v>
      </c>
      <c r="H876">
        <v>6.7230804769380867</v>
      </c>
      <c r="I876">
        <v>22.469475260793764</v>
      </c>
      <c r="J876">
        <v>3.1923513463270201E-2</v>
      </c>
      <c r="K876">
        <v>7.3321047223017874</v>
      </c>
      <c r="L876">
        <v>0.42177795537765572</v>
      </c>
      <c r="M876">
        <v>0.20832864120405534</v>
      </c>
      <c r="N876">
        <v>0.5470086835944391</v>
      </c>
      <c r="O876">
        <v>15.869711957883187</v>
      </c>
      <c r="P876" s="3">
        <v>35.498029827754998</v>
      </c>
      <c r="Q876" s="3">
        <v>1.5825483582300188</v>
      </c>
    </row>
    <row r="877" spans="1:17" x14ac:dyDescent="0.3">
      <c r="A877" t="s">
        <v>293</v>
      </c>
      <c r="B877" s="22" t="s">
        <v>439</v>
      </c>
      <c r="C877" s="21" t="s">
        <v>440</v>
      </c>
      <c r="D877" s="24">
        <v>4</v>
      </c>
      <c r="E877" t="s">
        <v>196</v>
      </c>
      <c r="F877">
        <v>0.3227758850821611</v>
      </c>
      <c r="G877">
        <v>4.0837155000117242</v>
      </c>
      <c r="H877">
        <v>8.127177393242393</v>
      </c>
      <c r="I877">
        <v>21.70631070557566</v>
      </c>
      <c r="J877">
        <v>3.1041290016260572E-2</v>
      </c>
      <c r="K877">
        <v>7.4956773911371997</v>
      </c>
      <c r="L877">
        <v>0.26283177747088243</v>
      </c>
      <c r="M877">
        <v>0.2756570415649639</v>
      </c>
      <c r="N877">
        <v>0.50147146431024581</v>
      </c>
      <c r="O877">
        <v>14.720320025725034</v>
      </c>
      <c r="P877" s="3">
        <v>38.928380322152456</v>
      </c>
      <c r="Q877" s="3">
        <v>1.7296414918630185</v>
      </c>
    </row>
    <row r="878" spans="1:17" x14ac:dyDescent="0.3">
      <c r="A878" t="s">
        <v>302</v>
      </c>
      <c r="B878" s="22" t="s">
        <v>439</v>
      </c>
      <c r="C878" s="21" t="s">
        <v>440</v>
      </c>
      <c r="D878" s="24">
        <v>4</v>
      </c>
      <c r="E878" t="s">
        <v>196</v>
      </c>
      <c r="F878">
        <v>0.33496857558521864</v>
      </c>
      <c r="G878">
        <v>3.8657641845113453</v>
      </c>
      <c r="H878">
        <v>6.9219969726178237</v>
      </c>
      <c r="I878">
        <v>21.864200099360783</v>
      </c>
      <c r="J878">
        <v>6.9272938710034052E-2</v>
      </c>
      <c r="K878">
        <v>7.7183467902531149</v>
      </c>
      <c r="L878">
        <v>0.40009229901774851</v>
      </c>
      <c r="M878">
        <v>0.1895802254369621</v>
      </c>
      <c r="N878">
        <v>0.53391941271734566</v>
      </c>
      <c r="O878">
        <v>16.11061998347131</v>
      </c>
      <c r="P878" s="3">
        <v>35.539190396321381</v>
      </c>
      <c r="Q878" s="3">
        <v>1.4013187707681836</v>
      </c>
    </row>
    <row r="879" spans="1:17" x14ac:dyDescent="0.3">
      <c r="A879" t="s">
        <v>443</v>
      </c>
      <c r="B879" s="22" t="s">
        <v>439</v>
      </c>
      <c r="C879" s="21" t="s">
        <v>440</v>
      </c>
      <c r="D879" s="24">
        <v>4</v>
      </c>
      <c r="E879" t="s">
        <v>196</v>
      </c>
      <c r="F879">
        <v>0.370091382545227</v>
      </c>
      <c r="G879">
        <v>4.1341267806216182</v>
      </c>
      <c r="H879">
        <v>6.9846700734405474</v>
      </c>
      <c r="I879">
        <v>22.200783414960316</v>
      </c>
      <c r="J879">
        <v>3.9696329716927554E-2</v>
      </c>
      <c r="K879">
        <v>7.2554367232007833</v>
      </c>
      <c r="L879">
        <v>0.37321760652047126</v>
      </c>
      <c r="M879">
        <v>0.21619068762366284</v>
      </c>
      <c r="N879">
        <v>0.54733732693235915</v>
      </c>
      <c r="O879">
        <v>15.609900871250089</v>
      </c>
      <c r="P879" s="3">
        <v>37.830912056731151</v>
      </c>
      <c r="Q879" s="3">
        <v>1.5807935243342137</v>
      </c>
    </row>
    <row r="880" spans="1:17" x14ac:dyDescent="0.3">
      <c r="A880" t="s">
        <v>444</v>
      </c>
      <c r="B880" s="22" t="s">
        <v>439</v>
      </c>
      <c r="C880" s="21" t="s">
        <v>440</v>
      </c>
      <c r="D880" s="24">
        <v>4</v>
      </c>
      <c r="E880" t="s">
        <v>196</v>
      </c>
      <c r="F880">
        <v>0.348411520453209</v>
      </c>
      <c r="G880">
        <v>3.9362731058712104</v>
      </c>
      <c r="H880">
        <v>6.7574558684975816</v>
      </c>
      <c r="I880">
        <v>22.299590003175329</v>
      </c>
      <c r="J880">
        <v>4.31524140357206E-2</v>
      </c>
      <c r="K880">
        <v>7.4768685413116289</v>
      </c>
      <c r="L880">
        <v>0.46672605787250482</v>
      </c>
      <c r="M880">
        <v>0.20900760025665849</v>
      </c>
      <c r="N880">
        <v>0.52583790904798033</v>
      </c>
      <c r="O880">
        <v>15.707119695404064</v>
      </c>
      <c r="P880" s="3">
        <v>36.540473292551802</v>
      </c>
      <c r="Q880" s="3">
        <v>1.5796754060657718</v>
      </c>
    </row>
    <row r="881" spans="1:17" x14ac:dyDescent="0.3">
      <c r="A881" t="s">
        <v>445</v>
      </c>
      <c r="B881" s="22" t="s">
        <v>439</v>
      </c>
      <c r="C881" s="21" t="s">
        <v>440</v>
      </c>
      <c r="D881" s="24">
        <v>4</v>
      </c>
      <c r="E881" t="s">
        <v>196</v>
      </c>
      <c r="F881">
        <v>0.39755122565469309</v>
      </c>
      <c r="G881">
        <v>4.6486091297940382</v>
      </c>
      <c r="H881">
        <v>5.8711352052225401</v>
      </c>
      <c r="I881">
        <v>23.127147785148914</v>
      </c>
      <c r="J881">
        <v>6.6306090058300446E-2</v>
      </c>
      <c r="K881">
        <v>7.7868692119367191</v>
      </c>
      <c r="L881">
        <v>0.48385231993527733</v>
      </c>
      <c r="M881">
        <v>0.24004080438354694</v>
      </c>
      <c r="N881">
        <v>0.5136460923939038</v>
      </c>
      <c r="O881">
        <v>14.172603827930663</v>
      </c>
      <c r="P881" s="3">
        <v>42.975646780938305</v>
      </c>
      <c r="Q881" s="3">
        <v>2.0775405411794785</v>
      </c>
    </row>
    <row r="882" spans="1:17" x14ac:dyDescent="0.3">
      <c r="A882" t="s">
        <v>446</v>
      </c>
      <c r="B882" s="22" t="s">
        <v>439</v>
      </c>
      <c r="C882" s="21" t="s">
        <v>440</v>
      </c>
      <c r="D882" s="24">
        <v>4</v>
      </c>
      <c r="E882" t="s">
        <v>196</v>
      </c>
      <c r="F882">
        <v>0.32197632998026998</v>
      </c>
      <c r="G882">
        <v>4.5824093480600006</v>
      </c>
      <c r="H882">
        <v>6.6693758941973336</v>
      </c>
      <c r="I882">
        <v>23.216174586001255</v>
      </c>
      <c r="J882">
        <v>2.7099493491466498E-2</v>
      </c>
      <c r="K882">
        <v>7.0128702589440808</v>
      </c>
      <c r="L882">
        <v>0.38350829725693047</v>
      </c>
      <c r="M882">
        <v>0.23433753088490852</v>
      </c>
      <c r="N882">
        <v>0.54204986110544906</v>
      </c>
      <c r="O882">
        <v>14.124934665601103</v>
      </c>
      <c r="P882" s="3">
        <v>42.706921291848396</v>
      </c>
      <c r="Q882" s="3">
        <v>1.7906620938217606</v>
      </c>
    </row>
    <row r="883" spans="1:17" x14ac:dyDescent="0.3">
      <c r="A883" t="s">
        <v>447</v>
      </c>
      <c r="B883" s="22" t="s">
        <v>439</v>
      </c>
      <c r="C883" s="21" t="s">
        <v>440</v>
      </c>
      <c r="D883" s="24">
        <v>4</v>
      </c>
      <c r="E883" t="s">
        <v>196</v>
      </c>
      <c r="F883">
        <v>0.28171545705478623</v>
      </c>
      <c r="G883">
        <v>3.8561721586270514</v>
      </c>
      <c r="H883">
        <v>6.5709867899337953</v>
      </c>
      <c r="I883">
        <v>23.451495635084832</v>
      </c>
      <c r="J883">
        <v>4.9328068496394886E-4</v>
      </c>
      <c r="K883">
        <v>7.3331724060189076</v>
      </c>
      <c r="L883">
        <v>0.39477703122174956</v>
      </c>
      <c r="M883">
        <v>0.19537148121528611</v>
      </c>
      <c r="N883">
        <v>0.54697941663704119</v>
      </c>
      <c r="O883">
        <v>14.557661156705432</v>
      </c>
      <c r="P883" s="3">
        <v>37.835307489199081</v>
      </c>
      <c r="Q883" s="3">
        <v>1.5194459681715873</v>
      </c>
    </row>
    <row r="884" spans="1:17" x14ac:dyDescent="0.3">
      <c r="A884" t="s">
        <v>448</v>
      </c>
      <c r="B884" s="22" t="s">
        <v>439</v>
      </c>
      <c r="C884" s="21" t="s">
        <v>440</v>
      </c>
      <c r="D884" s="24">
        <v>4</v>
      </c>
      <c r="E884" t="s">
        <v>196</v>
      </c>
      <c r="F884">
        <v>0.32161184383295277</v>
      </c>
      <c r="G884">
        <v>3.4752958478510068</v>
      </c>
      <c r="H884">
        <v>6.1128601449004689</v>
      </c>
      <c r="I884">
        <v>23.335859155935982</v>
      </c>
      <c r="J884">
        <v>2.9469908641367233E-2</v>
      </c>
      <c r="K884">
        <v>7.2617765159791547</v>
      </c>
      <c r="L884">
        <v>0.50232671735092815</v>
      </c>
      <c r="M884">
        <v>0.17332988978312547</v>
      </c>
      <c r="N884">
        <v>0.57358241520185471</v>
      </c>
      <c r="O884">
        <v>15.729421851639824</v>
      </c>
      <c r="P884" s="3">
        <v>33.671777876048424</v>
      </c>
      <c r="Q884" s="3">
        <v>1.4500718309714713</v>
      </c>
    </row>
    <row r="885" spans="1:17" x14ac:dyDescent="0.3">
      <c r="A885" t="s">
        <v>449</v>
      </c>
      <c r="B885" s="22" t="s">
        <v>439</v>
      </c>
      <c r="C885" s="21" t="s">
        <v>440</v>
      </c>
      <c r="D885" s="24">
        <v>4</v>
      </c>
      <c r="E885" t="s">
        <v>196</v>
      </c>
      <c r="F885">
        <v>0.23640669256996594</v>
      </c>
      <c r="G885">
        <v>6.3788228749684999</v>
      </c>
      <c r="H885">
        <v>9.67595740687422</v>
      </c>
      <c r="I885">
        <v>20.190537704594576</v>
      </c>
      <c r="J885">
        <v>4.4095231300542159E-2</v>
      </c>
      <c r="K885">
        <v>10.252506286067099</v>
      </c>
      <c r="L885">
        <v>1.0463330841759976E-2</v>
      </c>
      <c r="M885">
        <v>0.19124417359269819</v>
      </c>
      <c r="N885">
        <v>0.43516111675287461</v>
      </c>
      <c r="O885">
        <v>9.2120715244976719</v>
      </c>
      <c r="P885" s="3">
        <v>61.404957497974635</v>
      </c>
      <c r="Q885" s="3">
        <v>1.0152355614214694</v>
      </c>
    </row>
    <row r="886" spans="1:17" x14ac:dyDescent="0.3">
      <c r="A886" t="s">
        <v>286</v>
      </c>
      <c r="B886" s="22" t="s">
        <v>439</v>
      </c>
      <c r="C886" s="21" t="s">
        <v>440</v>
      </c>
      <c r="D886" s="24">
        <v>4</v>
      </c>
      <c r="E886" t="s">
        <v>196</v>
      </c>
      <c r="F886">
        <v>0.29445339803413922</v>
      </c>
      <c r="G886">
        <v>4.3921058898339576</v>
      </c>
      <c r="H886">
        <v>7.0125125906883152</v>
      </c>
      <c r="I886">
        <v>21.909353434973156</v>
      </c>
      <c r="J886">
        <v>2.5199481471939778E-2</v>
      </c>
      <c r="K886">
        <v>7.6251478085323114</v>
      </c>
      <c r="L886">
        <v>0.27189608193947112</v>
      </c>
      <c r="M886">
        <v>0.1915282461243169</v>
      </c>
      <c r="N886">
        <v>0.55391962477020762</v>
      </c>
      <c r="O886">
        <v>15.564545384016595</v>
      </c>
      <c r="P886" s="3">
        <v>39.334125224104007</v>
      </c>
      <c r="Q886" s="3">
        <v>1.3974983829187329</v>
      </c>
    </row>
    <row r="887" spans="1:17" x14ac:dyDescent="0.3">
      <c r="A887" t="s">
        <v>450</v>
      </c>
      <c r="B887" s="22" t="s">
        <v>439</v>
      </c>
      <c r="C887" s="21" t="s">
        <v>440</v>
      </c>
      <c r="D887" s="24">
        <v>4</v>
      </c>
      <c r="E887" t="s">
        <v>196</v>
      </c>
      <c r="F887">
        <v>0.32096407631067064</v>
      </c>
      <c r="G887">
        <v>4.0546782045340386</v>
      </c>
      <c r="H887">
        <v>6.5543575185996197</v>
      </c>
      <c r="I887">
        <v>23.418347558063235</v>
      </c>
      <c r="J887">
        <v>3.2220775526793519E-2</v>
      </c>
      <c r="K887">
        <v>7.3486600393974575</v>
      </c>
      <c r="L887">
        <v>0.40132143101637557</v>
      </c>
      <c r="M887">
        <v>0.21752312172058558</v>
      </c>
      <c r="N887">
        <v>0.53918422797294696</v>
      </c>
      <c r="O887">
        <v>14.122202776351585</v>
      </c>
      <c r="P887" s="3">
        <v>39.74793413553742</v>
      </c>
      <c r="Q887" s="3">
        <v>1.6930267805751549</v>
      </c>
    </row>
    <row r="888" spans="1:17" x14ac:dyDescent="0.3">
      <c r="A888" t="s">
        <v>451</v>
      </c>
      <c r="B888" s="22" t="s">
        <v>439</v>
      </c>
      <c r="C888" s="21" t="s">
        <v>440</v>
      </c>
      <c r="D888" s="24">
        <v>4</v>
      </c>
      <c r="E888" t="s">
        <v>196</v>
      </c>
      <c r="F888">
        <v>0.29130348633266134</v>
      </c>
      <c r="G888">
        <v>4.2281049377719935</v>
      </c>
      <c r="H888">
        <v>7.0021408577477633</v>
      </c>
      <c r="I888">
        <v>21.836161865458294</v>
      </c>
      <c r="J888">
        <v>5.4905800271200463E-2</v>
      </c>
      <c r="K888">
        <v>7.194989128482149</v>
      </c>
      <c r="L888">
        <v>0.28264055626198376</v>
      </c>
      <c r="M888">
        <v>0.19846212582698469</v>
      </c>
      <c r="N888">
        <v>0.58162623365235844</v>
      </c>
      <c r="O888">
        <v>16.272424780047359</v>
      </c>
      <c r="P888" s="3">
        <v>37.383014046872361</v>
      </c>
      <c r="Q888" s="3">
        <v>1.4494724078226435</v>
      </c>
    </row>
    <row r="889" spans="1:17" x14ac:dyDescent="0.3">
      <c r="A889" t="s">
        <v>452</v>
      </c>
      <c r="B889" s="22" t="s">
        <v>439</v>
      </c>
      <c r="C889" s="21" t="s">
        <v>440</v>
      </c>
      <c r="D889" s="24">
        <v>4</v>
      </c>
      <c r="E889" t="s">
        <v>196</v>
      </c>
      <c r="F889">
        <v>0.35636200063957313</v>
      </c>
      <c r="G889">
        <v>4.1260942837778689</v>
      </c>
      <c r="H889">
        <v>6.203013555674965</v>
      </c>
      <c r="I889">
        <v>23.290340549201044</v>
      </c>
      <c r="J889">
        <v>5.9986922500367183E-2</v>
      </c>
      <c r="K889">
        <v>9.0033014240614069</v>
      </c>
      <c r="L889">
        <v>0.4308814202854247</v>
      </c>
      <c r="M889">
        <v>0.2002321624687089</v>
      </c>
      <c r="N889">
        <v>0.46289437411700524</v>
      </c>
      <c r="O889">
        <v>13.084949637599204</v>
      </c>
      <c r="P889" s="3">
        <v>42.013151951230967</v>
      </c>
      <c r="Q889" s="3">
        <v>1.6474824295293542</v>
      </c>
    </row>
    <row r="890" spans="1:17" x14ac:dyDescent="0.3">
      <c r="A890" t="s">
        <v>453</v>
      </c>
      <c r="B890" s="22" t="s">
        <v>439</v>
      </c>
      <c r="C890" s="21" t="s">
        <v>440</v>
      </c>
      <c r="D890" s="24">
        <v>4</v>
      </c>
      <c r="E890" t="s">
        <v>196</v>
      </c>
      <c r="F890">
        <v>0.28788269694256186</v>
      </c>
      <c r="G890">
        <v>4.4044902151185568</v>
      </c>
      <c r="H890">
        <v>6.8530619117631879</v>
      </c>
      <c r="I890">
        <v>22.246915251825975</v>
      </c>
      <c r="J890">
        <v>1.9410350885784459E-2</v>
      </c>
      <c r="K890">
        <v>7.1462221525991829</v>
      </c>
      <c r="L890">
        <v>0.26911083884323467</v>
      </c>
      <c r="M890">
        <v>0.19456079715718849</v>
      </c>
      <c r="N890">
        <v>0.56910269464015872</v>
      </c>
      <c r="O890">
        <v>15.737761606495178</v>
      </c>
      <c r="P890" s="3">
        <v>39.137393810000873</v>
      </c>
      <c r="Q890" s="3">
        <v>1.4518553090488817</v>
      </c>
    </row>
    <row r="891" spans="1:17" x14ac:dyDescent="0.3">
      <c r="A891" t="s">
        <v>203</v>
      </c>
      <c r="B891" s="22" t="s">
        <v>439</v>
      </c>
      <c r="C891" s="21" t="s">
        <v>440</v>
      </c>
      <c r="D891" s="24">
        <v>4</v>
      </c>
      <c r="E891" t="s">
        <v>196</v>
      </c>
      <c r="F891">
        <v>0.33593833286198227</v>
      </c>
      <c r="G891">
        <v>3.997504573712408</v>
      </c>
      <c r="H891">
        <v>7.1193299252891382</v>
      </c>
      <c r="I891">
        <v>22.955918203630173</v>
      </c>
      <c r="J891">
        <v>1.2069200937635796E-2</v>
      </c>
      <c r="K891">
        <v>7.5461719896892951</v>
      </c>
      <c r="L891">
        <v>0.33778240519722313</v>
      </c>
      <c r="M891">
        <v>0.19747187188216175</v>
      </c>
      <c r="N891">
        <v>0.53853658887015221</v>
      </c>
      <c r="O891">
        <v>14.174435541888094</v>
      </c>
      <c r="P891" s="3">
        <v>39.320215842201627</v>
      </c>
      <c r="Q891" s="3">
        <v>1.418939285742651</v>
      </c>
    </row>
    <row r="892" spans="1:17" x14ac:dyDescent="0.3">
      <c r="A892" t="s">
        <v>454</v>
      </c>
      <c r="B892" s="22" t="s">
        <v>439</v>
      </c>
      <c r="C892" s="21" t="s">
        <v>440</v>
      </c>
      <c r="D892" s="24">
        <v>4</v>
      </c>
      <c r="E892" t="s">
        <v>196</v>
      </c>
      <c r="F892">
        <v>0.32062881971388452</v>
      </c>
      <c r="G892">
        <v>4.0062865872254543</v>
      </c>
      <c r="H892">
        <v>6.9815675309380758</v>
      </c>
      <c r="I892">
        <v>22.474542312125244</v>
      </c>
      <c r="J892">
        <v>2.6655481198767487E-2</v>
      </c>
      <c r="K892">
        <v>7.3285880314710781</v>
      </c>
      <c r="L892">
        <v>0.34253825294509688</v>
      </c>
      <c r="M892">
        <v>0.19841477989902592</v>
      </c>
      <c r="N892">
        <v>0.53692686619836316</v>
      </c>
      <c r="O892">
        <v>15.360273958654</v>
      </c>
      <c r="P892" s="3">
        <v>37.47196685223161</v>
      </c>
      <c r="Q892" s="3">
        <v>1.4533398748097675</v>
      </c>
    </row>
    <row r="893" spans="1:17" x14ac:dyDescent="0.3">
      <c r="A893" t="s">
        <v>227</v>
      </c>
      <c r="B893" s="22" t="s">
        <v>439</v>
      </c>
      <c r="C893" s="21" t="s">
        <v>440</v>
      </c>
      <c r="D893" s="24">
        <v>4</v>
      </c>
      <c r="E893" t="s">
        <v>196</v>
      </c>
      <c r="F893">
        <v>0.33012752153554192</v>
      </c>
      <c r="G893">
        <v>3.8451789143051762</v>
      </c>
      <c r="H893">
        <v>6.2686584295181351</v>
      </c>
      <c r="I893">
        <v>22.274912900322864</v>
      </c>
      <c r="J893">
        <v>5.2531844942032405E-2</v>
      </c>
      <c r="K893">
        <v>7.309781288537577</v>
      </c>
      <c r="L893">
        <v>0.59269053444128428</v>
      </c>
      <c r="M893">
        <v>0.19648856358430628</v>
      </c>
      <c r="N893">
        <v>0.52073810787226005</v>
      </c>
      <c r="O893">
        <v>16.573248605297248</v>
      </c>
      <c r="P893" s="3">
        <v>34.772102808445851</v>
      </c>
      <c r="Q893" s="3">
        <v>1.6005148223489973</v>
      </c>
    </row>
    <row r="894" spans="1:17" x14ac:dyDescent="0.3">
      <c r="A894" t="s">
        <v>261</v>
      </c>
      <c r="B894" s="22" t="s">
        <v>439</v>
      </c>
      <c r="C894" s="21" t="s">
        <v>440</v>
      </c>
      <c r="D894" s="24">
        <v>4</v>
      </c>
      <c r="E894" t="s">
        <v>196</v>
      </c>
      <c r="F894">
        <v>0.299219929801878</v>
      </c>
      <c r="G894">
        <v>3.9950583981143875</v>
      </c>
      <c r="H894">
        <v>6.8793335097100483</v>
      </c>
      <c r="I894">
        <v>22.436472246577427</v>
      </c>
      <c r="J894">
        <v>3.0172798976856298E-2</v>
      </c>
      <c r="K894">
        <v>7.4637989855020574</v>
      </c>
      <c r="L894">
        <v>0.39490431730445896</v>
      </c>
      <c r="M894">
        <v>0.19313168395731384</v>
      </c>
      <c r="N894">
        <v>0.50357604676404222</v>
      </c>
      <c r="O894">
        <v>15.416687158444617</v>
      </c>
      <c r="P894" s="3">
        <v>37.320436017868047</v>
      </c>
      <c r="Q894" s="3">
        <v>1.4359193272084354</v>
      </c>
    </row>
    <row r="895" spans="1:17" x14ac:dyDescent="0.3">
      <c r="A895" t="s">
        <v>261</v>
      </c>
      <c r="B895" s="22" t="s">
        <v>439</v>
      </c>
      <c r="C895" s="21" t="s">
        <v>440</v>
      </c>
      <c r="D895" s="24">
        <v>4</v>
      </c>
      <c r="E895" t="s">
        <v>196</v>
      </c>
      <c r="F895">
        <v>0.28966525840018076</v>
      </c>
      <c r="G895">
        <v>4.0061994326013544</v>
      </c>
      <c r="H895">
        <v>6.7646694161827439</v>
      </c>
      <c r="I895">
        <v>22.79361104857237</v>
      </c>
      <c r="J895">
        <v>4.9799230834707574E-2</v>
      </c>
      <c r="K895">
        <v>7.2500930803393349</v>
      </c>
      <c r="L895">
        <v>0.42438572403049807</v>
      </c>
      <c r="M895">
        <v>0.19423996590544063</v>
      </c>
      <c r="N895">
        <v>0.52645579997569902</v>
      </c>
      <c r="O895">
        <v>15.13750544149462</v>
      </c>
      <c r="P895" s="3">
        <v>37.814374976405624</v>
      </c>
      <c r="Q895" s="3">
        <v>1.4681580800484899</v>
      </c>
    </row>
    <row r="896" spans="1:17" x14ac:dyDescent="0.3">
      <c r="A896" t="s">
        <v>280</v>
      </c>
      <c r="B896" s="22" t="s">
        <v>439</v>
      </c>
      <c r="C896" s="21" t="s">
        <v>440</v>
      </c>
      <c r="D896" s="24">
        <v>4</v>
      </c>
      <c r="E896" t="s">
        <v>196</v>
      </c>
      <c r="F896">
        <v>0.32252342176175081</v>
      </c>
      <c r="G896">
        <v>3.8539243426742917</v>
      </c>
      <c r="H896">
        <v>6.8901061942288653</v>
      </c>
      <c r="I896">
        <v>22.646645396047411</v>
      </c>
      <c r="J896">
        <v>3.3909513977416574E-2</v>
      </c>
      <c r="K896">
        <v>7.2689879215225126</v>
      </c>
      <c r="L896">
        <v>0.39108922880884689</v>
      </c>
      <c r="M896">
        <v>0.19425575539550366</v>
      </c>
      <c r="N896">
        <v>0.52930439606282775</v>
      </c>
      <c r="O896">
        <v>15.374258105247293</v>
      </c>
      <c r="P896" s="3">
        <v>36.546899264493447</v>
      </c>
      <c r="Q896" s="3">
        <v>1.4419306381039119</v>
      </c>
    </row>
    <row r="897" spans="1:17" x14ac:dyDescent="0.3">
      <c r="A897" t="s">
        <v>455</v>
      </c>
      <c r="B897" s="22" t="s">
        <v>439</v>
      </c>
      <c r="C897" s="21" t="s">
        <v>440</v>
      </c>
      <c r="D897" s="24">
        <v>4</v>
      </c>
      <c r="E897" t="s">
        <v>196</v>
      </c>
      <c r="F897">
        <v>0.3121230765370413</v>
      </c>
      <c r="G897">
        <v>4.0900745298782768</v>
      </c>
      <c r="H897">
        <v>6.663951846081102</v>
      </c>
      <c r="I897">
        <v>21.941542567560443</v>
      </c>
      <c r="J897">
        <v>2.7659338727059505E-2</v>
      </c>
      <c r="K897">
        <v>7.7127627236268097</v>
      </c>
      <c r="L897">
        <v>0.34728818803928302</v>
      </c>
      <c r="M897">
        <v>0.18936133467032173</v>
      </c>
      <c r="N897">
        <v>0.55507130604228538</v>
      </c>
      <c r="O897">
        <v>16.207407212822499</v>
      </c>
      <c r="P897" s="3">
        <v>36.702353315191772</v>
      </c>
      <c r="Q897" s="3">
        <v>1.4531366761374211</v>
      </c>
    </row>
    <row r="898" spans="1:17" x14ac:dyDescent="0.3">
      <c r="A898" t="s">
        <v>456</v>
      </c>
      <c r="B898" s="22" t="s">
        <v>439</v>
      </c>
      <c r="C898" s="21" t="s">
        <v>440</v>
      </c>
      <c r="D898" s="24">
        <v>4</v>
      </c>
      <c r="E898" t="s">
        <v>196</v>
      </c>
      <c r="F898">
        <v>0.36492359931999235</v>
      </c>
      <c r="G898">
        <v>3.9567721080703784</v>
      </c>
      <c r="H898">
        <v>6.9536482494346448</v>
      </c>
      <c r="I898">
        <v>21.845341886658538</v>
      </c>
      <c r="J898">
        <v>3.8509235659861162E-2</v>
      </c>
      <c r="K898">
        <v>7.5519043252708906</v>
      </c>
      <c r="L898">
        <v>0.39404782782990994</v>
      </c>
      <c r="M898">
        <v>0.19622333803203582</v>
      </c>
      <c r="N898">
        <v>0.56304209194648991</v>
      </c>
      <c r="O898">
        <v>16.098211838576589</v>
      </c>
      <c r="P898" s="3">
        <v>36.091806001302942</v>
      </c>
      <c r="Q898" s="3">
        <v>1.4432072645444658</v>
      </c>
    </row>
    <row r="899" spans="1:17" x14ac:dyDescent="0.3">
      <c r="A899" t="s">
        <v>309</v>
      </c>
      <c r="B899" s="22" t="s">
        <v>439</v>
      </c>
      <c r="C899" s="21" t="s">
        <v>440</v>
      </c>
      <c r="D899" s="24">
        <v>4</v>
      </c>
      <c r="E899" t="s">
        <v>196</v>
      </c>
      <c r="F899">
        <v>0.39894022932212886</v>
      </c>
      <c r="G899">
        <v>4.1118293917185209</v>
      </c>
      <c r="H899">
        <v>6.6900059215821734</v>
      </c>
      <c r="I899">
        <v>22.157436647323966</v>
      </c>
      <c r="J899">
        <v>5.4393261062421136E-2</v>
      </c>
      <c r="K899">
        <v>7.4718829547481693</v>
      </c>
      <c r="L899">
        <v>0.58947974149720994</v>
      </c>
      <c r="M899">
        <v>0.20664572983109186</v>
      </c>
      <c r="N899">
        <v>0.52377763063616967</v>
      </c>
      <c r="O899">
        <v>15.5881268679809</v>
      </c>
      <c r="P899" s="3">
        <v>37.736593975873042</v>
      </c>
      <c r="Q899" s="3">
        <v>1.5776042524820626</v>
      </c>
    </row>
    <row r="900" spans="1:17" x14ac:dyDescent="0.3">
      <c r="A900" s="5" t="s">
        <v>457</v>
      </c>
      <c r="B900" s="22" t="s">
        <v>458</v>
      </c>
      <c r="C900" s="21" t="s">
        <v>459</v>
      </c>
      <c r="D900" s="24">
        <v>4</v>
      </c>
      <c r="E900" t="s">
        <v>196</v>
      </c>
      <c r="F900">
        <v>0.3639</v>
      </c>
      <c r="G900">
        <v>3.6301999999999999</v>
      </c>
      <c r="H900">
        <v>6.6494</v>
      </c>
      <c r="I900">
        <v>23.727553727642427</v>
      </c>
      <c r="J900">
        <v>6.6400000000000001E-2</v>
      </c>
      <c r="K900">
        <v>7.6764000000000001</v>
      </c>
      <c r="L900">
        <v>0.40679999999999999</v>
      </c>
      <c r="M900">
        <v>0.19162999999999999</v>
      </c>
      <c r="N900">
        <v>0.41830000000000001</v>
      </c>
      <c r="O900">
        <v>13.8714</v>
      </c>
      <c r="P900" s="3">
        <v>37.551157041230681</v>
      </c>
      <c r="Q900" s="3">
        <v>1.4734604164613765</v>
      </c>
    </row>
    <row r="901" spans="1:17" x14ac:dyDescent="0.3">
      <c r="A901" s="5" t="s">
        <v>460</v>
      </c>
      <c r="B901" s="22" t="s">
        <v>458</v>
      </c>
      <c r="C901" s="21" t="s">
        <v>459</v>
      </c>
      <c r="D901" s="24">
        <v>4</v>
      </c>
      <c r="E901" t="s">
        <v>196</v>
      </c>
      <c r="F901">
        <v>0.33829999999999999</v>
      </c>
      <c r="G901">
        <v>3.5924</v>
      </c>
      <c r="H901">
        <v>6.6639999999999997</v>
      </c>
      <c r="I901">
        <v>23.990529003401559</v>
      </c>
      <c r="J901">
        <v>6.6100000000000006E-2</v>
      </c>
      <c r="K901">
        <v>7.4370000000000003</v>
      </c>
      <c r="L901">
        <v>0.48599999999999999</v>
      </c>
      <c r="M901">
        <v>0.20459000000000002</v>
      </c>
      <c r="N901">
        <v>0.36720000000000003</v>
      </c>
      <c r="O901">
        <v>13.682700000000001</v>
      </c>
      <c r="P901" s="3">
        <v>37.626923931927145</v>
      </c>
      <c r="Q901" s="3">
        <v>1.5681559072440552</v>
      </c>
    </row>
    <row r="902" spans="1:17" x14ac:dyDescent="0.3">
      <c r="A902" s="5" t="s">
        <v>461</v>
      </c>
      <c r="B902" s="22" t="s">
        <v>462</v>
      </c>
      <c r="C902" s="21" t="s">
        <v>463</v>
      </c>
      <c r="D902" s="24">
        <v>4</v>
      </c>
      <c r="E902" t="s">
        <v>196</v>
      </c>
      <c r="F902">
        <v>0.33289999999999997</v>
      </c>
      <c r="G902">
        <v>4.4367000000000001</v>
      </c>
      <c r="H902">
        <v>6.3167999999999997</v>
      </c>
      <c r="I902">
        <v>23.197102787148413</v>
      </c>
      <c r="J902">
        <v>6.13E-2</v>
      </c>
      <c r="K902">
        <v>7.9340000000000002</v>
      </c>
      <c r="L902">
        <v>0.39169999999999999</v>
      </c>
      <c r="M902">
        <v>0.19782</v>
      </c>
      <c r="N902">
        <v>0.40550000000000003</v>
      </c>
      <c r="O902">
        <v>13.9849</v>
      </c>
      <c r="P902" s="3">
        <v>42.160957368175289</v>
      </c>
      <c r="Q902" s="3">
        <v>1.599102612623255</v>
      </c>
    </row>
    <row r="903" spans="1:17" x14ac:dyDescent="0.3">
      <c r="A903" s="5" t="s">
        <v>464</v>
      </c>
      <c r="B903" s="22" t="s">
        <v>462</v>
      </c>
      <c r="C903" s="21" t="s">
        <v>463</v>
      </c>
      <c r="D903" s="24">
        <v>4</v>
      </c>
      <c r="E903" t="s">
        <v>196</v>
      </c>
      <c r="F903">
        <v>0.19370000000000001</v>
      </c>
      <c r="G903">
        <v>6.9194000000000004</v>
      </c>
      <c r="H903">
        <v>3.6452</v>
      </c>
      <c r="I903">
        <v>24.045504372439879</v>
      </c>
      <c r="J903">
        <v>3.9800000000000002E-2</v>
      </c>
      <c r="K903">
        <v>5.0902000000000003</v>
      </c>
      <c r="L903">
        <v>0.28799999999999998</v>
      </c>
      <c r="M903">
        <v>0.25209000000000004</v>
      </c>
      <c r="N903">
        <v>0.48139999999999999</v>
      </c>
      <c r="O903">
        <v>16.5532</v>
      </c>
      <c r="P903" s="3">
        <v>48.991325105814198</v>
      </c>
      <c r="Q903" s="3">
        <v>3.4643840580919134</v>
      </c>
    </row>
    <row r="904" spans="1:17" x14ac:dyDescent="0.3">
      <c r="A904" s="5" t="s">
        <v>465</v>
      </c>
      <c r="B904" s="22" t="s">
        <v>462</v>
      </c>
      <c r="C904" s="21" t="s">
        <v>463</v>
      </c>
      <c r="D904" s="24">
        <v>4</v>
      </c>
      <c r="E904" t="s">
        <v>196</v>
      </c>
      <c r="F904">
        <v>0.31009999999999999</v>
      </c>
      <c r="G904">
        <v>4.0369000000000002</v>
      </c>
      <c r="H904">
        <v>6.6651999999999996</v>
      </c>
      <c r="I904">
        <v>23.32260215655274</v>
      </c>
      <c r="J904">
        <v>4.24E-2</v>
      </c>
      <c r="K904">
        <v>7.1798000000000002</v>
      </c>
      <c r="L904">
        <v>0.39439999999999997</v>
      </c>
      <c r="M904">
        <v>0.21403000000000003</v>
      </c>
      <c r="N904">
        <v>0.43219999999999997</v>
      </c>
      <c r="O904">
        <v>14.593</v>
      </c>
      <c r="P904" s="3">
        <v>38.86080512482836</v>
      </c>
      <c r="Q904" s="3">
        <v>1.6390358239795393</v>
      </c>
    </row>
    <row r="905" spans="1:17" x14ac:dyDescent="0.3">
      <c r="A905" s="5" t="s">
        <v>466</v>
      </c>
      <c r="B905" s="22" t="s">
        <v>462</v>
      </c>
      <c r="C905" s="21" t="s">
        <v>463</v>
      </c>
      <c r="D905" s="24">
        <v>4</v>
      </c>
      <c r="E905" t="s">
        <v>196</v>
      </c>
      <c r="F905">
        <v>0.39350000000000002</v>
      </c>
      <c r="G905">
        <v>4.2484999999999999</v>
      </c>
      <c r="H905">
        <v>6.4250999999999996</v>
      </c>
      <c r="I905">
        <v>23.732199796348652</v>
      </c>
      <c r="J905">
        <v>8.3000000000000004E-2</v>
      </c>
      <c r="K905">
        <v>7.2286000000000001</v>
      </c>
      <c r="L905">
        <v>0.4108</v>
      </c>
      <c r="M905">
        <v>0.22161</v>
      </c>
      <c r="N905">
        <v>0.40360000000000001</v>
      </c>
      <c r="O905">
        <v>13.812099999999999</v>
      </c>
      <c r="P905" s="3">
        <v>41.409041682873351</v>
      </c>
      <c r="Q905" s="3">
        <v>1.7583658602687486</v>
      </c>
    </row>
    <row r="906" spans="1:17" x14ac:dyDescent="0.3">
      <c r="A906" s="5" t="s">
        <v>467</v>
      </c>
      <c r="B906" s="22" t="s">
        <v>462</v>
      </c>
      <c r="C906" s="21" t="s">
        <v>463</v>
      </c>
      <c r="D906" s="24">
        <v>4</v>
      </c>
      <c r="E906" t="s">
        <v>196</v>
      </c>
      <c r="F906">
        <v>0.2787</v>
      </c>
      <c r="G906">
        <v>4.3640999999999996</v>
      </c>
      <c r="H906">
        <v>6.2302999999999997</v>
      </c>
      <c r="I906">
        <v>24.009540655234915</v>
      </c>
      <c r="J906">
        <v>3.8100000000000002E-2</v>
      </c>
      <c r="K906">
        <v>6.4671000000000003</v>
      </c>
      <c r="L906">
        <v>0.19900000000000001</v>
      </c>
      <c r="M906">
        <v>0.19685999999999998</v>
      </c>
      <c r="N906">
        <v>0.44219999999999998</v>
      </c>
      <c r="O906">
        <v>14.742599999999999</v>
      </c>
      <c r="P906" s="3">
        <v>40.481758647877314</v>
      </c>
      <c r="Q906" s="3">
        <v>1.6132049212968007</v>
      </c>
    </row>
    <row r="907" spans="1:17" x14ac:dyDescent="0.3">
      <c r="A907" s="5" t="s">
        <v>468</v>
      </c>
      <c r="B907" s="22" t="s">
        <v>462</v>
      </c>
      <c r="C907" s="21" t="s">
        <v>463</v>
      </c>
      <c r="D907" s="24">
        <v>4</v>
      </c>
      <c r="E907" t="s">
        <v>196</v>
      </c>
      <c r="F907">
        <v>0.29310000000000003</v>
      </c>
      <c r="G907">
        <v>4.1626000000000003</v>
      </c>
      <c r="H907">
        <v>6.3223000000000003</v>
      </c>
      <c r="I907">
        <v>23.903244081333025</v>
      </c>
      <c r="J907">
        <v>5.4199999999999998E-2</v>
      </c>
      <c r="K907">
        <v>6.9246999999999996</v>
      </c>
      <c r="L907">
        <v>0.34329999999999999</v>
      </c>
      <c r="M907">
        <v>0.17829999999999999</v>
      </c>
      <c r="N907">
        <v>0.43169999999999997</v>
      </c>
      <c r="O907">
        <v>14.3606</v>
      </c>
      <c r="P907" s="3">
        <v>39.976351464410399</v>
      </c>
      <c r="Q907" s="3">
        <v>1.4423504160177072</v>
      </c>
    </row>
    <row r="908" spans="1:17" x14ac:dyDescent="0.3">
      <c r="A908" t="s">
        <v>472</v>
      </c>
      <c r="B908" s="19" t="s">
        <v>473</v>
      </c>
      <c r="C908" s="20" t="s">
        <v>474</v>
      </c>
      <c r="D908" s="24">
        <v>4</v>
      </c>
      <c r="E908" t="s">
        <v>196</v>
      </c>
      <c r="F908">
        <v>0.29674567192113455</v>
      </c>
      <c r="G908">
        <v>6.0907230051607772</v>
      </c>
      <c r="H908">
        <v>5.5519498631829816</v>
      </c>
      <c r="I908">
        <v>23.773831200173095</v>
      </c>
      <c r="J908">
        <v>3.5696459472371149E-2</v>
      </c>
      <c r="K908">
        <v>6.3393523191326198</v>
      </c>
      <c r="L908">
        <v>0.37758980780066365</v>
      </c>
      <c r="M908">
        <v>0.22920948226516394</v>
      </c>
      <c r="N908">
        <v>0.4182093970706402</v>
      </c>
      <c r="O908">
        <v>15.118663353933522</v>
      </c>
      <c r="P908" s="3">
        <v>48.069328798256841</v>
      </c>
      <c r="Q908" s="3">
        <v>2.0974199024183009</v>
      </c>
    </row>
    <row r="909" spans="1:17" x14ac:dyDescent="0.3">
      <c r="A909" t="s">
        <v>475</v>
      </c>
      <c r="B909" s="19" t="s">
        <v>473</v>
      </c>
      <c r="C909" s="20" t="s">
        <v>474</v>
      </c>
      <c r="D909" s="24">
        <v>4</v>
      </c>
      <c r="E909" t="s">
        <v>196</v>
      </c>
      <c r="F909">
        <v>0.31158295551719128</v>
      </c>
      <c r="G909">
        <v>3.7690117606192932</v>
      </c>
      <c r="H909">
        <v>6.5416682849324737</v>
      </c>
      <c r="I909">
        <v>23.100722334104493</v>
      </c>
      <c r="J909">
        <v>2.3244206168055632E-2</v>
      </c>
      <c r="K909">
        <v>7.4042491574085618</v>
      </c>
      <c r="L909">
        <v>0.37758980780066365</v>
      </c>
      <c r="M909">
        <v>0.17105185243668949</v>
      </c>
      <c r="N909">
        <v>0.44144325246345351</v>
      </c>
      <c r="O909">
        <v>16.098072907967264</v>
      </c>
      <c r="P909" s="3">
        <v>34.978399197757042</v>
      </c>
      <c r="Q909" s="3">
        <v>1.3387214004134262</v>
      </c>
    </row>
    <row r="910" spans="1:17" x14ac:dyDescent="0.3">
      <c r="A910" t="s">
        <v>476</v>
      </c>
      <c r="B910" s="19" t="s">
        <v>477</v>
      </c>
      <c r="C910" s="20" t="s">
        <v>478</v>
      </c>
      <c r="D910" s="24">
        <v>4</v>
      </c>
      <c r="E910" t="s">
        <v>196</v>
      </c>
      <c r="F910">
        <v>0.30416431371916292</v>
      </c>
      <c r="G910">
        <v>4.4383882493052802</v>
      </c>
      <c r="H910">
        <v>6.2452820195957273</v>
      </c>
      <c r="I910">
        <v>22.857655243579718</v>
      </c>
      <c r="J910">
        <v>2.4904506608631034E-2</v>
      </c>
      <c r="K910">
        <v>6.9897255559320213</v>
      </c>
      <c r="L910">
        <v>0.34762236273711888</v>
      </c>
      <c r="M910">
        <v>0.21894637111896256</v>
      </c>
      <c r="N910">
        <v>0.48016634478480913</v>
      </c>
      <c r="O910">
        <v>15.468452480374143</v>
      </c>
      <c r="P910" s="3">
        <v>39.732741306001209</v>
      </c>
      <c r="Q910" s="3">
        <v>1.7867346113328482</v>
      </c>
    </row>
    <row r="911" spans="1:17" x14ac:dyDescent="0.3">
      <c r="A911" s="5" t="s">
        <v>194</v>
      </c>
      <c r="B911" s="22" t="s">
        <v>151</v>
      </c>
      <c r="C911" s="21" t="s">
        <v>152</v>
      </c>
      <c r="D911" s="24">
        <v>4</v>
      </c>
      <c r="E911" t="s">
        <v>196</v>
      </c>
      <c r="F911">
        <v>0.31158295551719128</v>
      </c>
      <c r="G911">
        <v>4.3961753175863434</v>
      </c>
      <c r="H911">
        <v>7.0232959661046861</v>
      </c>
      <c r="I911">
        <v>21.960176755488241</v>
      </c>
      <c r="J911">
        <v>4.150751101438506E-2</v>
      </c>
      <c r="K911">
        <v>7.8759484280542811</v>
      </c>
      <c r="L911">
        <v>0.10788280222876104</v>
      </c>
      <c r="M911">
        <v>8.8946963267078544E-2</v>
      </c>
      <c r="N911">
        <v>0.27880626471376013</v>
      </c>
      <c r="O911">
        <v>15.211940454317688</v>
      </c>
      <c r="P911" s="3">
        <v>39.9044522967164</v>
      </c>
      <c r="Q911" s="3">
        <v>0.65290430708099378</v>
      </c>
    </row>
    <row r="912" spans="1:17" x14ac:dyDescent="0.3">
      <c r="A912" s="5" t="s">
        <v>198</v>
      </c>
      <c r="B912" s="22" t="s">
        <v>151</v>
      </c>
      <c r="C912" s="21" t="s">
        <v>152</v>
      </c>
      <c r="D912" s="24">
        <v>4</v>
      </c>
      <c r="E912" t="s">
        <v>196</v>
      </c>
      <c r="F912">
        <v>0.29674567192113455</v>
      </c>
      <c r="G912">
        <v>4.0765631202858277</v>
      </c>
      <c r="H912">
        <v>6.9174437284844199</v>
      </c>
      <c r="I912">
        <v>22.539798279047318</v>
      </c>
      <c r="J912">
        <v>4.150751101438506E-2</v>
      </c>
      <c r="K912">
        <v>7.3899552401162678</v>
      </c>
      <c r="L912">
        <v>0.34762236273711888</v>
      </c>
      <c r="M912">
        <v>0.21894637111896256</v>
      </c>
      <c r="N912">
        <v>0.50340020017762244</v>
      </c>
      <c r="O912">
        <v>15.009840070151995</v>
      </c>
      <c r="P912" s="3">
        <v>38.424854024217431</v>
      </c>
      <c r="Q912" s="3">
        <v>1.6159247297249615</v>
      </c>
    </row>
    <row r="913" spans="1:17" x14ac:dyDescent="0.3">
      <c r="A913" s="5" t="s">
        <v>199</v>
      </c>
      <c r="B913" s="22" t="s">
        <v>151</v>
      </c>
      <c r="C913" s="21" t="s">
        <v>152</v>
      </c>
      <c r="D913" s="24">
        <v>4</v>
      </c>
      <c r="E913" t="s">
        <v>196</v>
      </c>
      <c r="F913">
        <v>0.33383888091127639</v>
      </c>
      <c r="G913">
        <v>4.2333540095275897</v>
      </c>
      <c r="H913">
        <v>7.3355600670844723</v>
      </c>
      <c r="I913">
        <v>21.876038147229664</v>
      </c>
      <c r="J913">
        <v>2.4904506608631034E-2</v>
      </c>
      <c r="K913">
        <v>7.9545649731619026</v>
      </c>
      <c r="L913">
        <v>0.25172653853377575</v>
      </c>
      <c r="M913">
        <v>0.10263111146201369</v>
      </c>
      <c r="N913">
        <v>0.2245939354638623</v>
      </c>
      <c r="O913">
        <v>14.628958576916652</v>
      </c>
      <c r="P913" s="3">
        <v>39.936526607063414</v>
      </c>
      <c r="Q913" s="3">
        <v>0.72078920469128216</v>
      </c>
    </row>
    <row r="914" spans="1:17" x14ac:dyDescent="0.3">
      <c r="A914" s="5" t="s">
        <v>200</v>
      </c>
      <c r="B914" s="22" t="s">
        <v>151</v>
      </c>
      <c r="C914" s="21" t="s">
        <v>152</v>
      </c>
      <c r="D914" s="24">
        <v>4</v>
      </c>
      <c r="E914" t="s">
        <v>196</v>
      </c>
      <c r="F914">
        <v>0.38576937349747492</v>
      </c>
      <c r="G914">
        <v>3.7690117606192932</v>
      </c>
      <c r="H914">
        <v>7.5366793185629799</v>
      </c>
      <c r="I914">
        <v>21.712435297837995</v>
      </c>
      <c r="J914">
        <v>4.150751101438506E-2</v>
      </c>
      <c r="K914">
        <v>7.6686866273160117</v>
      </c>
      <c r="L914">
        <v>0.31765491767357418</v>
      </c>
      <c r="M914">
        <v>0.10263111146201369</v>
      </c>
      <c r="N914">
        <v>0.2245939354638623</v>
      </c>
      <c r="O914">
        <v>15.103117170536162</v>
      </c>
      <c r="P914" s="3">
        <v>36.442938097559889</v>
      </c>
      <c r="Q914" s="3">
        <v>0.70168962810360225</v>
      </c>
    </row>
    <row r="915" spans="1:17" x14ac:dyDescent="0.3">
      <c r="A915" s="5" t="s">
        <v>485</v>
      </c>
      <c r="B915" s="22" t="s">
        <v>151</v>
      </c>
      <c r="C915" s="21" t="s">
        <v>152</v>
      </c>
      <c r="D915" s="24">
        <v>4</v>
      </c>
      <c r="E915" t="s">
        <v>196</v>
      </c>
      <c r="F915">
        <v>0.31900159731521965</v>
      </c>
      <c r="G915">
        <v>4.2032019154426354</v>
      </c>
      <c r="H915">
        <v>8.2405966987377521</v>
      </c>
      <c r="I915">
        <v>21.651668525206798</v>
      </c>
      <c r="J915">
        <v>7.4713519825893096E-2</v>
      </c>
      <c r="K915">
        <v>7.5900700822083911</v>
      </c>
      <c r="L915">
        <v>0.56338796719464102</v>
      </c>
      <c r="M915">
        <v>0.20526222292402738</v>
      </c>
      <c r="N915">
        <v>0.44918787092772461</v>
      </c>
      <c r="O915">
        <v>13.929380324035412</v>
      </c>
      <c r="P915" s="3">
        <v>40.944606099707109</v>
      </c>
      <c r="Q915" s="3">
        <v>1.2760772738060386</v>
      </c>
    </row>
    <row r="916" spans="1:17" x14ac:dyDescent="0.3">
      <c r="A916" s="5" t="s">
        <v>201</v>
      </c>
      <c r="B916" s="22" t="s">
        <v>151</v>
      </c>
      <c r="C916" s="21" t="s">
        <v>152</v>
      </c>
      <c r="D916" s="24">
        <v>4</v>
      </c>
      <c r="E916" t="s">
        <v>196</v>
      </c>
      <c r="F916">
        <v>0.2077219703447942</v>
      </c>
      <c r="G916">
        <v>6.1208750992457324</v>
      </c>
      <c r="H916">
        <v>7.1026851443198868</v>
      </c>
      <c r="I916">
        <v>22.119105237754443</v>
      </c>
      <c r="J916">
        <v>1.6603004405754022E-2</v>
      </c>
      <c r="K916">
        <v>7.2255751912548805</v>
      </c>
      <c r="L916">
        <v>9.5895824203343152E-2</v>
      </c>
      <c r="M916">
        <v>0.15736770424175434</v>
      </c>
      <c r="N916">
        <v>0.34850783089220017</v>
      </c>
      <c r="O916">
        <v>13.564045014197427</v>
      </c>
      <c r="P916" s="3">
        <v>50.904412318028896</v>
      </c>
      <c r="Q916" s="3">
        <v>1.1366650464690673</v>
      </c>
    </row>
    <row r="917" spans="1:17" x14ac:dyDescent="0.3">
      <c r="A917" s="5" t="s">
        <v>317</v>
      </c>
      <c r="B917" s="22" t="s">
        <v>151</v>
      </c>
      <c r="C917" s="21" t="s">
        <v>152</v>
      </c>
      <c r="D917" s="24">
        <v>4</v>
      </c>
      <c r="E917" t="s">
        <v>196</v>
      </c>
      <c r="F917">
        <v>0.26707110472902107</v>
      </c>
      <c r="G917">
        <v>4.9208217546645496</v>
      </c>
      <c r="H917">
        <v>5.7901173978285811</v>
      </c>
      <c r="I917">
        <v>22.020943528119435</v>
      </c>
      <c r="J917">
        <v>3.3206008811508043E-2</v>
      </c>
      <c r="K917">
        <v>6.76102287925531</v>
      </c>
      <c r="L917">
        <v>0.39557027483879054</v>
      </c>
      <c r="M917">
        <v>0.23263051931389772</v>
      </c>
      <c r="N917">
        <v>0.48016634478480913</v>
      </c>
      <c r="O917">
        <v>16.59555077668281</v>
      </c>
      <c r="P917" s="3">
        <v>40.522006536306968</v>
      </c>
      <c r="Q917" s="3">
        <v>2.042311819823234</v>
      </c>
    </row>
    <row r="918" spans="1:17" x14ac:dyDescent="0.3">
      <c r="A918" s="5" t="s">
        <v>328</v>
      </c>
      <c r="B918" s="22" t="s">
        <v>151</v>
      </c>
      <c r="C918" s="21" t="s">
        <v>152</v>
      </c>
      <c r="D918" s="24">
        <v>4</v>
      </c>
      <c r="E918" t="s">
        <v>196</v>
      </c>
      <c r="F918">
        <v>0.45253714967973019</v>
      </c>
      <c r="G918">
        <v>4.5409053691941246</v>
      </c>
      <c r="H918">
        <v>6.0917962750463408</v>
      </c>
      <c r="I918">
        <v>22.465008405039697</v>
      </c>
      <c r="J918">
        <v>7.4713519825893096E-2</v>
      </c>
      <c r="K918">
        <v>6.7109941687322783</v>
      </c>
      <c r="L918">
        <v>0.58736192324547676</v>
      </c>
      <c r="M918">
        <v>0.28052503799617073</v>
      </c>
      <c r="N918">
        <v>0.42595401553491136</v>
      </c>
      <c r="O918">
        <v>14.885470602973108</v>
      </c>
      <c r="P918" s="3">
        <v>41.208292838675781</v>
      </c>
      <c r="Q918" s="3">
        <v>2.3338583452611084</v>
      </c>
    </row>
    <row r="919" spans="1:17" x14ac:dyDescent="0.3">
      <c r="A919" s="5" t="s">
        <v>329</v>
      </c>
      <c r="B919" s="22" t="s">
        <v>151</v>
      </c>
      <c r="C919" s="21" t="s">
        <v>152</v>
      </c>
      <c r="D919" s="24">
        <v>4</v>
      </c>
      <c r="E919" t="s">
        <v>196</v>
      </c>
      <c r="F919">
        <v>0.36351344810338981</v>
      </c>
      <c r="G919">
        <v>4.8002133783247318</v>
      </c>
      <c r="H919">
        <v>5.9488957542589809</v>
      </c>
      <c r="I919">
        <v>22.502403342043507</v>
      </c>
      <c r="J919">
        <v>6.6412017623016087E-2</v>
      </c>
      <c r="K919">
        <v>6.9968725145781683</v>
      </c>
      <c r="L919">
        <v>0.53941401114380527</v>
      </c>
      <c r="M919">
        <v>0.30105126028857349</v>
      </c>
      <c r="N919">
        <v>0.42595401553491136</v>
      </c>
      <c r="O919">
        <v>14.201438533489229</v>
      </c>
      <c r="P919" s="3">
        <v>43.713813766655754</v>
      </c>
      <c r="Q919" s="3">
        <v>2.5588836809453146</v>
      </c>
    </row>
    <row r="920" spans="1:17" x14ac:dyDescent="0.3">
      <c r="A920" s="5" t="s">
        <v>330</v>
      </c>
      <c r="B920" s="22" t="s">
        <v>151</v>
      </c>
      <c r="C920" s="21" t="s">
        <v>152</v>
      </c>
      <c r="D920" s="24">
        <v>4</v>
      </c>
      <c r="E920" t="s">
        <v>196</v>
      </c>
      <c r="F920">
        <v>0.28190838832507781</v>
      </c>
      <c r="G920">
        <v>4.5891487197300513</v>
      </c>
      <c r="H920">
        <v>6.9756624591755667</v>
      </c>
      <c r="I920">
        <v>22.824934673701382</v>
      </c>
      <c r="J920">
        <v>3.3206008811508043E-2</v>
      </c>
      <c r="K920">
        <v>7.4900126611623303</v>
      </c>
      <c r="L920">
        <v>7.1921868152507354E-2</v>
      </c>
      <c r="M920">
        <v>0.23947259341136529</v>
      </c>
      <c r="N920">
        <v>0.4104647786063691</v>
      </c>
      <c r="O920">
        <v>13.88274177384333</v>
      </c>
      <c r="P920" s="3">
        <v>43.166676335884553</v>
      </c>
      <c r="Q920" s="3">
        <v>1.7502734818408601</v>
      </c>
    </row>
    <row r="921" spans="1:17" x14ac:dyDescent="0.3">
      <c r="A921" s="5" t="s">
        <v>335</v>
      </c>
      <c r="B921" s="22" t="s">
        <v>151</v>
      </c>
      <c r="C921" s="21" t="s">
        <v>152</v>
      </c>
      <c r="D921" s="24">
        <v>4</v>
      </c>
      <c r="E921" t="s">
        <v>196</v>
      </c>
      <c r="F921">
        <v>0.34125752270930476</v>
      </c>
      <c r="G921">
        <v>3.9559547439460099</v>
      </c>
      <c r="H921">
        <v>6.404060376026127</v>
      </c>
      <c r="I921">
        <v>22.413590366659456</v>
      </c>
      <c r="J921">
        <v>4.150751101438506E-2</v>
      </c>
      <c r="K921">
        <v>7.1040768942703769</v>
      </c>
      <c r="L921">
        <v>0.44351818694046208</v>
      </c>
      <c r="M921">
        <v>0.21210429702149497</v>
      </c>
      <c r="N921">
        <v>0.4104647786063691</v>
      </c>
      <c r="O921">
        <v>15.188621179221647</v>
      </c>
      <c r="P921" s="3">
        <v>37.439058025631276</v>
      </c>
      <c r="Q921" s="3">
        <v>1.6896528370957218</v>
      </c>
    </row>
    <row r="922" spans="1:17" x14ac:dyDescent="0.3">
      <c r="A922" s="5" t="s">
        <v>336</v>
      </c>
      <c r="B922" s="22" t="s">
        <v>151</v>
      </c>
      <c r="C922" s="21" t="s">
        <v>152</v>
      </c>
      <c r="D922" s="24">
        <v>4</v>
      </c>
      <c r="E922" t="s">
        <v>196</v>
      </c>
      <c r="F922">
        <v>0.33383888091127639</v>
      </c>
      <c r="G922">
        <v>4.0765631202858277</v>
      </c>
      <c r="H922">
        <v>6.4728643304793003</v>
      </c>
      <c r="I922">
        <v>22.586541950302085</v>
      </c>
      <c r="J922">
        <v>5.8110515420139085E-2</v>
      </c>
      <c r="K922">
        <v>7.1683995220857026</v>
      </c>
      <c r="L922">
        <v>0.42553771990233519</v>
      </c>
      <c r="M922">
        <v>0.22578844521643016</v>
      </c>
      <c r="N922">
        <v>0.43369863399918246</v>
      </c>
      <c r="O922">
        <v>14.932109153165191</v>
      </c>
      <c r="P922" s="3">
        <v>38.547774004090215</v>
      </c>
      <c r="Q922" s="3">
        <v>1.7779454244145996</v>
      </c>
    </row>
    <row r="923" spans="1:17" x14ac:dyDescent="0.3">
      <c r="A923" s="5" t="s">
        <v>338</v>
      </c>
      <c r="B923" s="22" t="s">
        <v>151</v>
      </c>
      <c r="C923" s="21" t="s">
        <v>152</v>
      </c>
      <c r="D923" s="24">
        <v>4</v>
      </c>
      <c r="E923" t="s">
        <v>196</v>
      </c>
      <c r="F923">
        <v>0.60832862743832583</v>
      </c>
      <c r="G923">
        <v>3.6182512901945216</v>
      </c>
      <c r="H923">
        <v>6.2294041839526875</v>
      </c>
      <c r="I923">
        <v>22.469682772165175</v>
      </c>
      <c r="J923">
        <v>6.6412017623016087E-2</v>
      </c>
      <c r="K923">
        <v>7.597217040854539</v>
      </c>
      <c r="L923">
        <v>0.55140098916922309</v>
      </c>
      <c r="M923">
        <v>0.19842014882655981</v>
      </c>
      <c r="N923">
        <v>0.43369863399918246</v>
      </c>
      <c r="O923">
        <v>15.748283781526641</v>
      </c>
      <c r="P923" s="3">
        <v>34.550820735083569</v>
      </c>
      <c r="Q923" s="3">
        <v>1.6260119815941585</v>
      </c>
    </row>
    <row r="924" spans="1:17" x14ac:dyDescent="0.3">
      <c r="A924" s="5" t="s">
        <v>340</v>
      </c>
      <c r="B924" s="22" t="s">
        <v>151</v>
      </c>
      <c r="C924" s="21" t="s">
        <v>152</v>
      </c>
      <c r="D924" s="24">
        <v>4</v>
      </c>
      <c r="E924" t="s">
        <v>196</v>
      </c>
      <c r="F924">
        <v>0.56381677665015562</v>
      </c>
      <c r="G924">
        <v>4.9268521734815396</v>
      </c>
      <c r="H924">
        <v>6.0917962750463408</v>
      </c>
      <c r="I924">
        <v>22.338800492651831</v>
      </c>
      <c r="J924">
        <v>8.3015022028770119E-2</v>
      </c>
      <c r="K924">
        <v>7.2898978190702062</v>
      </c>
      <c r="L924">
        <v>0.59934890127089469</v>
      </c>
      <c r="M924">
        <v>0.28052503799617073</v>
      </c>
      <c r="N924">
        <v>0.46467710785626687</v>
      </c>
      <c r="O924">
        <v>14.838832052781026</v>
      </c>
      <c r="P924" s="3">
        <v>43.274768830578559</v>
      </c>
      <c r="Q924" s="3">
        <v>2.3338583452611084</v>
      </c>
    </row>
    <row r="925" spans="1:17" x14ac:dyDescent="0.3">
      <c r="A925" s="5" t="s">
        <v>342</v>
      </c>
      <c r="B925" s="22" t="s">
        <v>151</v>
      </c>
      <c r="C925" s="21" t="s">
        <v>152</v>
      </c>
      <c r="D925" s="24">
        <v>4</v>
      </c>
      <c r="E925" t="s">
        <v>196</v>
      </c>
      <c r="F925">
        <v>0.34125752270930476</v>
      </c>
      <c r="G925">
        <v>4.6313616514489873</v>
      </c>
      <c r="H925">
        <v>5.8589213522817545</v>
      </c>
      <c r="I925">
        <v>22.306079922773499</v>
      </c>
      <c r="J925">
        <v>4.9809013217262069E-2</v>
      </c>
      <c r="K925">
        <v>6.518026285286302</v>
      </c>
      <c r="L925">
        <v>0.56338796719464102</v>
      </c>
      <c r="M925">
        <v>0.30105126028857349</v>
      </c>
      <c r="N925">
        <v>0.4182093970706402</v>
      </c>
      <c r="O925">
        <v>15.320763738099215</v>
      </c>
      <c r="P925" s="3">
        <v>40.988030966091124</v>
      </c>
      <c r="Q925" s="3">
        <v>2.5971594096489659</v>
      </c>
    </row>
    <row r="926" spans="1:17" x14ac:dyDescent="0.3">
      <c r="A926" s="5" t="s">
        <v>343</v>
      </c>
      <c r="B926" s="22" t="s">
        <v>151</v>
      </c>
      <c r="C926" s="21" t="s">
        <v>152</v>
      </c>
      <c r="D926" s="24">
        <v>4</v>
      </c>
      <c r="E926" t="s">
        <v>196</v>
      </c>
      <c r="F926">
        <v>0.28932703012310618</v>
      </c>
      <c r="G926">
        <v>4.5529662068281063</v>
      </c>
      <c r="H926">
        <v>6.5152052255274073</v>
      </c>
      <c r="I926">
        <v>22.091059035001582</v>
      </c>
      <c r="J926">
        <v>2.4904506608631034E-2</v>
      </c>
      <c r="K926">
        <v>7.3685143641778268</v>
      </c>
      <c r="L926">
        <v>0.40755725286420841</v>
      </c>
      <c r="M926">
        <v>0.18473600063162465</v>
      </c>
      <c r="N926">
        <v>0.44918787092772461</v>
      </c>
      <c r="O926">
        <v>15.20416736261901</v>
      </c>
      <c r="P926" s="3">
        <v>40.760073931419647</v>
      </c>
      <c r="Q926" s="3">
        <v>1.4500535223847644</v>
      </c>
    </row>
    <row r="927" spans="1:17" x14ac:dyDescent="0.3">
      <c r="A927" s="5" t="s">
        <v>344</v>
      </c>
      <c r="B927" s="22" t="s">
        <v>151</v>
      </c>
      <c r="C927" s="21" t="s">
        <v>152</v>
      </c>
      <c r="D927" s="24">
        <v>4</v>
      </c>
      <c r="E927" t="s">
        <v>196</v>
      </c>
      <c r="F927">
        <v>0.36351344810338981</v>
      </c>
      <c r="G927">
        <v>4.3841144799523617</v>
      </c>
      <c r="H927">
        <v>7.3249748433224466</v>
      </c>
      <c r="I927">
        <v>22.315428657024452</v>
      </c>
      <c r="J927">
        <v>4.150751101438506E-2</v>
      </c>
      <c r="K927">
        <v>7.7401562137774835</v>
      </c>
      <c r="L927">
        <v>0.36560282977524577</v>
      </c>
      <c r="M927">
        <v>0.24631466750883285</v>
      </c>
      <c r="N927">
        <v>0.38723092321355573</v>
      </c>
      <c r="O927">
        <v>13.76614539836312</v>
      </c>
      <c r="P927" s="3">
        <v>42.254690055993663</v>
      </c>
      <c r="Q927" s="3">
        <v>1.715044467199591</v>
      </c>
    </row>
    <row r="928" spans="1:17" x14ac:dyDescent="0.3">
      <c r="A928" s="5" t="s">
        <v>345</v>
      </c>
      <c r="B928" s="22" t="s">
        <v>151</v>
      </c>
      <c r="C928" s="21" t="s">
        <v>152</v>
      </c>
      <c r="D928" s="24">
        <v>4</v>
      </c>
      <c r="E928" t="s">
        <v>196</v>
      </c>
      <c r="F928">
        <v>0.33383888091127639</v>
      </c>
      <c r="G928">
        <v>4.3238102917824532</v>
      </c>
      <c r="H928">
        <v>6.5099126136463941</v>
      </c>
      <c r="I928">
        <v>22.413590366659456</v>
      </c>
      <c r="J928">
        <v>3.3206008811508043E-2</v>
      </c>
      <c r="K928">
        <v>6.9539907627012854</v>
      </c>
      <c r="L928">
        <v>0.25172653853377575</v>
      </c>
      <c r="M928">
        <v>7.5262815072143371E-2</v>
      </c>
      <c r="N928">
        <v>0.23233855392813343</v>
      </c>
      <c r="O928">
        <v>16.105845999665942</v>
      </c>
      <c r="P928" s="3">
        <v>38.150919306238279</v>
      </c>
      <c r="Q928" s="3">
        <v>0.59636448278843923</v>
      </c>
    </row>
    <row r="929" spans="1:17" x14ac:dyDescent="0.3">
      <c r="A929" s="5" t="s">
        <v>424</v>
      </c>
      <c r="B929" s="22" t="s">
        <v>151</v>
      </c>
      <c r="C929" s="21" t="s">
        <v>152</v>
      </c>
      <c r="D929" s="24">
        <v>4</v>
      </c>
      <c r="E929" t="s">
        <v>196</v>
      </c>
      <c r="F929">
        <v>0.28190838832507781</v>
      </c>
      <c r="G929">
        <v>6.3138485013894403</v>
      </c>
      <c r="H929">
        <v>6.1923559007855937</v>
      </c>
      <c r="I929">
        <v>22.530449544796369</v>
      </c>
      <c r="J929">
        <v>1.6603004405754022E-2</v>
      </c>
      <c r="K929">
        <v>6.9039620521782545</v>
      </c>
      <c r="L929">
        <v>0.27570049458461154</v>
      </c>
      <c r="M929">
        <v>0.34210370487337899</v>
      </c>
      <c r="N929">
        <v>0.37948630474928463</v>
      </c>
      <c r="O929">
        <v>13.665095206280276</v>
      </c>
      <c r="P929" s="3">
        <v>51.494517546111553</v>
      </c>
      <c r="Q929" s="3">
        <v>2.7869591272234913</v>
      </c>
    </row>
    <row r="930" spans="1:17" x14ac:dyDescent="0.3">
      <c r="A930" s="5" t="s">
        <v>347</v>
      </c>
      <c r="B930" s="22" t="s">
        <v>151</v>
      </c>
      <c r="C930" s="21" t="s">
        <v>152</v>
      </c>
      <c r="D930" s="24">
        <v>4</v>
      </c>
      <c r="E930" t="s">
        <v>196</v>
      </c>
      <c r="F930">
        <v>0.30416431371916292</v>
      </c>
      <c r="G930">
        <v>5.5057723799126634</v>
      </c>
      <c r="H930">
        <v>7.1556112631300195</v>
      </c>
      <c r="I930">
        <v>21.852666311602285</v>
      </c>
      <c r="J930">
        <v>3.3206008811508043E-2</v>
      </c>
      <c r="K930">
        <v>7.0826360183319359</v>
      </c>
      <c r="L930">
        <v>0.51544005509296942</v>
      </c>
      <c r="M930">
        <v>0.29420918619110592</v>
      </c>
      <c r="N930">
        <v>0.39497554167782684</v>
      </c>
      <c r="O930">
        <v>13.641775931184233</v>
      </c>
      <c r="P930" s="3">
        <v>48.114847194129247</v>
      </c>
      <c r="Q930" s="3">
        <v>2.089031737511192</v>
      </c>
    </row>
    <row r="931" spans="1:17" x14ac:dyDescent="0.3">
      <c r="A931" s="5" t="s">
        <v>348</v>
      </c>
      <c r="B931" s="22" t="s">
        <v>151</v>
      </c>
      <c r="C931" s="21" t="s">
        <v>152</v>
      </c>
      <c r="D931" s="24">
        <v>4</v>
      </c>
      <c r="E931" t="s">
        <v>196</v>
      </c>
      <c r="F931">
        <v>0.26707110472902107</v>
      </c>
      <c r="G931">
        <v>5.0595213874553391</v>
      </c>
      <c r="H931">
        <v>6.1394297819754602</v>
      </c>
      <c r="I931">
        <v>22.385544163906598</v>
      </c>
      <c r="J931">
        <v>4.150751101438506E-2</v>
      </c>
      <c r="K931">
        <v>6.4465566988248293</v>
      </c>
      <c r="L931">
        <v>0.43752469792775311</v>
      </c>
      <c r="M931">
        <v>0.22578844521643016</v>
      </c>
      <c r="N931">
        <v>0.35625244935647127</v>
      </c>
      <c r="O931">
        <v>15.670552864539836</v>
      </c>
      <c r="P931" s="3">
        <v>42.589644964268352</v>
      </c>
      <c r="Q931" s="3">
        <v>1.8726979608219656</v>
      </c>
    </row>
    <row r="932" spans="1:17" x14ac:dyDescent="0.3">
      <c r="A932" s="5" t="s">
        <v>486</v>
      </c>
      <c r="B932" s="22" t="s">
        <v>151</v>
      </c>
      <c r="C932" s="21" t="s">
        <v>152</v>
      </c>
      <c r="D932" s="24">
        <v>4</v>
      </c>
      <c r="E932" t="s">
        <v>196</v>
      </c>
      <c r="F932">
        <v>0.28932703012310618</v>
      </c>
      <c r="G932">
        <v>6.1811792874156408</v>
      </c>
      <c r="H932">
        <v>6.6898614176008468</v>
      </c>
      <c r="I932">
        <v>22.661331824309705</v>
      </c>
      <c r="J932">
        <v>8.3015022028770109E-3</v>
      </c>
      <c r="K932">
        <v>6.7467289619630142</v>
      </c>
      <c r="L932">
        <v>0.23973956050835787</v>
      </c>
      <c r="M932">
        <v>0.23947259341136529</v>
      </c>
      <c r="N932">
        <v>0.44144325246345351</v>
      </c>
      <c r="O932">
        <v>13.089886420577919</v>
      </c>
      <c r="P932" s="3">
        <v>52.03804713826603</v>
      </c>
      <c r="Q932" s="3">
        <v>1.8236841757896356</v>
      </c>
    </row>
    <row r="933" spans="1:17" x14ac:dyDescent="0.3">
      <c r="A933" s="5" t="s">
        <v>487</v>
      </c>
      <c r="B933" s="22" t="s">
        <v>151</v>
      </c>
      <c r="C933" s="21" t="s">
        <v>152</v>
      </c>
      <c r="D933" s="24">
        <v>4</v>
      </c>
      <c r="E933" t="s">
        <v>196</v>
      </c>
      <c r="F933">
        <v>0.1409541941625389</v>
      </c>
      <c r="G933">
        <v>6.0062971417229063</v>
      </c>
      <c r="H933">
        <v>6.404060376026127</v>
      </c>
      <c r="I933">
        <v>22.848306509328765</v>
      </c>
      <c r="J933">
        <v>1.6603004405754022E-2</v>
      </c>
      <c r="K933">
        <v>6.76102287925531</v>
      </c>
      <c r="L933">
        <v>0.28768747261002942</v>
      </c>
      <c r="M933">
        <v>0.31473540848350867</v>
      </c>
      <c r="N933">
        <v>0.42595401553491136</v>
      </c>
      <c r="O933">
        <v>13.012155503591114</v>
      </c>
      <c r="P933" s="3">
        <v>51.470135842685572</v>
      </c>
      <c r="Q933" s="3">
        <v>2.4868945881272619</v>
      </c>
    </row>
    <row r="934" spans="1:17" x14ac:dyDescent="0.3">
      <c r="A934" s="5" t="s">
        <v>488</v>
      </c>
      <c r="B934" s="22" t="s">
        <v>151</v>
      </c>
      <c r="C934" s="21" t="s">
        <v>152</v>
      </c>
      <c r="D934" s="24">
        <v>4</v>
      </c>
      <c r="E934" t="s">
        <v>196</v>
      </c>
      <c r="F934">
        <v>0.15579147775859564</v>
      </c>
      <c r="G934">
        <v>6.1932401250496225</v>
      </c>
      <c r="H934">
        <v>5.8642139641627677</v>
      </c>
      <c r="I934">
        <v>22.651983090058753</v>
      </c>
      <c r="J934">
        <v>1.6603004405754022E-2</v>
      </c>
      <c r="K934">
        <v>6.5394671612247439</v>
      </c>
      <c r="L934">
        <v>0.36560282977524577</v>
      </c>
      <c r="M934">
        <v>0.28736711209363835</v>
      </c>
      <c r="N934">
        <v>0.44144325246345351</v>
      </c>
      <c r="O934">
        <v>13.91383414063805</v>
      </c>
      <c r="P934" s="3">
        <v>50.561793687388786</v>
      </c>
      <c r="Q934" s="3">
        <v>2.4798522665746248</v>
      </c>
    </row>
    <row r="935" spans="1:17" x14ac:dyDescent="0.3">
      <c r="A935" s="5" t="s">
        <v>489</v>
      </c>
      <c r="B935" s="22" t="s">
        <v>151</v>
      </c>
      <c r="C935" s="21" t="s">
        <v>152</v>
      </c>
      <c r="D935" s="24">
        <v>4</v>
      </c>
      <c r="E935" t="s">
        <v>196</v>
      </c>
      <c r="F935">
        <v>0.25223382113296439</v>
      </c>
      <c r="G935">
        <v>6.2716355696705044</v>
      </c>
      <c r="H935">
        <v>6.7374949245299671</v>
      </c>
      <c r="I935">
        <v>22.848306509328765</v>
      </c>
      <c r="J935">
        <v>2.4904506608631034E-2</v>
      </c>
      <c r="K935">
        <v>6.6681124168553945</v>
      </c>
      <c r="L935">
        <v>0.34762236273711888</v>
      </c>
      <c r="M935">
        <v>0.30789333438604111</v>
      </c>
      <c r="N935">
        <v>0.43369863399918246</v>
      </c>
      <c r="O935">
        <v>12.94997077000167</v>
      </c>
      <c r="P935" s="3">
        <v>52.668500833585782</v>
      </c>
      <c r="Q935" s="3">
        <v>2.3164736679627018</v>
      </c>
    </row>
    <row r="936" spans="1:17" x14ac:dyDescent="0.3">
      <c r="A936" s="5" t="s">
        <v>490</v>
      </c>
      <c r="B936" s="22" t="s">
        <v>151</v>
      </c>
      <c r="C936" s="21" t="s">
        <v>152</v>
      </c>
      <c r="D936" s="24">
        <v>4</v>
      </c>
      <c r="E936" t="s">
        <v>196</v>
      </c>
      <c r="F936">
        <v>0.12611691056648219</v>
      </c>
      <c r="G936">
        <v>6.3681222707423579</v>
      </c>
      <c r="H936">
        <v>5.9965292611881011</v>
      </c>
      <c r="I936">
        <v>22.670680558560658</v>
      </c>
      <c r="J936">
        <v>2.4904506608631034E-2</v>
      </c>
      <c r="K936">
        <v>6.8539333416552237</v>
      </c>
      <c r="L936">
        <v>0.25772002754648471</v>
      </c>
      <c r="M936">
        <v>0.28736711209363835</v>
      </c>
      <c r="N936">
        <v>0.44918787092772461</v>
      </c>
      <c r="O936">
        <v>14.014884332720897</v>
      </c>
      <c r="P936" s="3">
        <v>51.07689901427927</v>
      </c>
      <c r="Q936" s="3">
        <v>2.4264612777930776</v>
      </c>
    </row>
    <row r="937" spans="1:17" x14ac:dyDescent="0.3">
      <c r="A937" s="5" t="s">
        <v>491</v>
      </c>
      <c r="B937" s="22" t="s">
        <v>151</v>
      </c>
      <c r="C937" s="21" t="s">
        <v>152</v>
      </c>
      <c r="D937" s="24">
        <v>4</v>
      </c>
      <c r="E937" t="s">
        <v>196</v>
      </c>
      <c r="F937">
        <v>8.9023701576340361E-2</v>
      </c>
      <c r="G937">
        <v>6.0183579793568871</v>
      </c>
      <c r="H937">
        <v>6.7480801482919937</v>
      </c>
      <c r="I937">
        <v>22.92777075046186</v>
      </c>
      <c r="J937">
        <v>1.6603004405754022E-2</v>
      </c>
      <c r="K937">
        <v>7.0397542664550521</v>
      </c>
      <c r="L937">
        <v>0.24573304952106681</v>
      </c>
      <c r="M937">
        <v>0.22578844521643016</v>
      </c>
      <c r="N937">
        <v>0.4182093970706402</v>
      </c>
      <c r="O937">
        <v>11.892830298981126</v>
      </c>
      <c r="P937" s="3">
        <v>53.762291266000616</v>
      </c>
      <c r="Q937" s="3">
        <v>1.7066706863330858</v>
      </c>
    </row>
    <row r="938" spans="1:17" x14ac:dyDescent="0.3">
      <c r="A938" s="5" t="s">
        <v>492</v>
      </c>
      <c r="B938" s="22" t="s">
        <v>151</v>
      </c>
      <c r="C938" s="21" t="s">
        <v>152</v>
      </c>
      <c r="D938" s="24">
        <v>4</v>
      </c>
      <c r="E938" t="s">
        <v>196</v>
      </c>
      <c r="F938">
        <v>0.4154439406895884</v>
      </c>
      <c r="G938">
        <v>4.6193008138150056</v>
      </c>
      <c r="H938">
        <v>6.36171948097802</v>
      </c>
      <c r="I938">
        <v>22.535123911921843</v>
      </c>
      <c r="J938">
        <v>4.9809013217262069E-2</v>
      </c>
      <c r="K938">
        <v>6.4894384507017131</v>
      </c>
      <c r="L938">
        <v>0.46749214299129788</v>
      </c>
      <c r="M938">
        <v>0.27368296389870322</v>
      </c>
      <c r="N938">
        <v>0.40272016014209799</v>
      </c>
      <c r="O938">
        <v>14.683370218807417</v>
      </c>
      <c r="P938" s="3">
        <v>41.956135838073614</v>
      </c>
      <c r="Q938" s="3">
        <v>2.1836788972366965</v>
      </c>
    </row>
    <row r="939" spans="1:17" x14ac:dyDescent="0.3">
      <c r="A939" s="5" t="s">
        <v>493</v>
      </c>
      <c r="B939" s="22" t="s">
        <v>151</v>
      </c>
      <c r="C939" s="21" t="s">
        <v>152</v>
      </c>
      <c r="D939" s="24">
        <v>4</v>
      </c>
      <c r="E939" t="s">
        <v>196</v>
      </c>
      <c r="F939">
        <v>0.29674567192113455</v>
      </c>
      <c r="G939">
        <v>5.252494789599047</v>
      </c>
      <c r="H939">
        <v>5.7213134433754078</v>
      </c>
      <c r="I939">
        <v>22.553821380423749</v>
      </c>
      <c r="J939">
        <v>2.4904506608631034E-2</v>
      </c>
      <c r="K939">
        <v>6.4751445334094191</v>
      </c>
      <c r="L939">
        <v>0.43153120891504415</v>
      </c>
      <c r="M939">
        <v>0.30789333438604111</v>
      </c>
      <c r="N939">
        <v>0.4104647786063691</v>
      </c>
      <c r="O939">
        <v>15.468452480374145</v>
      </c>
      <c r="P939" s="3">
        <v>43.826620618736861</v>
      </c>
      <c r="Q939" s="3">
        <v>2.7167326173360657</v>
      </c>
    </row>
    <row r="940" spans="1:17" x14ac:dyDescent="0.3">
      <c r="A940" s="5" t="s">
        <v>494</v>
      </c>
      <c r="B940" s="22" t="s">
        <v>151</v>
      </c>
      <c r="C940" s="21" t="s">
        <v>152</v>
      </c>
      <c r="D940" s="24">
        <v>4</v>
      </c>
      <c r="E940" t="s">
        <v>196</v>
      </c>
      <c r="F940">
        <v>0.34125752270930476</v>
      </c>
      <c r="G940">
        <v>4.522814112743152</v>
      </c>
      <c r="H940">
        <v>6.7374949245299671</v>
      </c>
      <c r="I940">
        <v>22.600565051678515</v>
      </c>
      <c r="J940">
        <v>4.9809013217262069E-2</v>
      </c>
      <c r="K940">
        <v>7.347073488239384</v>
      </c>
      <c r="L940">
        <v>0.49146609904213362</v>
      </c>
      <c r="M940">
        <v>0.23947259341136529</v>
      </c>
      <c r="N940">
        <v>0.40272016014209799</v>
      </c>
      <c r="O940">
        <v>14.56677384332721</v>
      </c>
      <c r="P940" s="3">
        <v>41.636564004508486</v>
      </c>
      <c r="Q940" s="3">
        <v>1.8110243868692588</v>
      </c>
    </row>
    <row r="941" spans="1:17" x14ac:dyDescent="0.3">
      <c r="A941" s="5" t="s">
        <v>495</v>
      </c>
      <c r="B941" s="22" t="s">
        <v>151</v>
      </c>
      <c r="C941" s="21" t="s">
        <v>152</v>
      </c>
      <c r="D941" s="24">
        <v>4</v>
      </c>
      <c r="E941" t="s">
        <v>196</v>
      </c>
      <c r="F941">
        <v>0.31900159731521965</v>
      </c>
      <c r="G941">
        <v>5.3067685589519655</v>
      </c>
      <c r="H941">
        <v>6.5628387324565276</v>
      </c>
      <c r="I941">
        <v>22.282708087146116</v>
      </c>
      <c r="J941">
        <v>4.150751101438506E-2</v>
      </c>
      <c r="K941">
        <v>6.4965854093478601</v>
      </c>
      <c r="L941">
        <v>0.37159631878795468</v>
      </c>
      <c r="M941">
        <v>0.30105126028857349</v>
      </c>
      <c r="N941">
        <v>0.37948630474928463</v>
      </c>
      <c r="O941">
        <v>13.937153415734091</v>
      </c>
      <c r="P941" s="3">
        <v>46.663038098665005</v>
      </c>
      <c r="Q941" s="3">
        <v>2.325069979346849</v>
      </c>
    </row>
    <row r="942" spans="1:17" x14ac:dyDescent="0.3">
      <c r="A942" s="5" t="s">
        <v>316</v>
      </c>
      <c r="B942" s="22" t="s">
        <v>151</v>
      </c>
      <c r="C942" s="21" t="s">
        <v>152</v>
      </c>
      <c r="D942" s="24">
        <v>4</v>
      </c>
      <c r="E942" t="s">
        <v>196</v>
      </c>
      <c r="F942">
        <v>0.43028122428564508</v>
      </c>
      <c r="G942">
        <v>4.9992171992854297</v>
      </c>
      <c r="H942">
        <v>5.477853296848795</v>
      </c>
      <c r="I942">
        <v>22.923096383336386</v>
      </c>
      <c r="J942">
        <v>5.8110515420139085E-2</v>
      </c>
      <c r="K942">
        <v>6.775316796547604</v>
      </c>
      <c r="L942">
        <v>0.6532903023852753</v>
      </c>
      <c r="M942">
        <v>0.30105126028857349</v>
      </c>
      <c r="N942">
        <v>0.4104647786063691</v>
      </c>
      <c r="O942">
        <v>14.947655336562553</v>
      </c>
      <c r="P942" s="3">
        <v>43.453418898489993</v>
      </c>
      <c r="Q942" s="3">
        <v>2.7728216573749949</v>
      </c>
    </row>
    <row r="943" spans="1:17" x14ac:dyDescent="0.3">
      <c r="A943" s="5" t="s">
        <v>318</v>
      </c>
      <c r="B943" s="22" t="s">
        <v>151</v>
      </c>
      <c r="C943" s="21" t="s">
        <v>152</v>
      </c>
      <c r="D943" s="24">
        <v>4</v>
      </c>
      <c r="E943" t="s">
        <v>196</v>
      </c>
      <c r="F943">
        <v>0.37835073169944655</v>
      </c>
      <c r="G943">
        <v>4.8605175664946403</v>
      </c>
      <c r="H943">
        <v>5.7266060552564211</v>
      </c>
      <c r="I943">
        <v>23.072676131351631</v>
      </c>
      <c r="J943">
        <v>4.9809013217262069E-2</v>
      </c>
      <c r="K943">
        <v>6.803904631132192</v>
      </c>
      <c r="L943">
        <v>0.62332285732173054</v>
      </c>
      <c r="M943">
        <v>0.22578844521643016</v>
      </c>
      <c r="N943">
        <v>0.39497554167782684</v>
      </c>
      <c r="O943">
        <v>14.193665441790547</v>
      </c>
      <c r="P943" s="3">
        <v>44.034723653977494</v>
      </c>
      <c r="Q943" s="3">
        <v>2.004991621488982</v>
      </c>
    </row>
    <row r="944" spans="1:17" x14ac:dyDescent="0.3">
      <c r="A944" s="5" t="s">
        <v>319</v>
      </c>
      <c r="B944" s="22" t="s">
        <v>151</v>
      </c>
      <c r="C944" s="21" t="s">
        <v>152</v>
      </c>
      <c r="D944" s="24">
        <v>4</v>
      </c>
      <c r="E944" t="s">
        <v>196</v>
      </c>
      <c r="F944">
        <v>0.40802529889156003</v>
      </c>
      <c r="G944">
        <v>4.5529662068281063</v>
      </c>
      <c r="H944">
        <v>5.7530691146614874</v>
      </c>
      <c r="I944">
        <v>22.553821380423749</v>
      </c>
      <c r="J944">
        <v>4.150751101438506E-2</v>
      </c>
      <c r="K944">
        <v>7.2970447777163541</v>
      </c>
      <c r="L944">
        <v>0.61732936830902152</v>
      </c>
      <c r="M944">
        <v>0.27368296389870322</v>
      </c>
      <c r="N944">
        <v>0.4182093970706402</v>
      </c>
      <c r="O944">
        <v>14.730008768999499</v>
      </c>
      <c r="P944" s="3">
        <v>41.527274509008315</v>
      </c>
      <c r="Q944" s="3">
        <v>2.4091371988111119</v>
      </c>
    </row>
    <row r="945" spans="1:17" x14ac:dyDescent="0.3">
      <c r="A945" s="5" t="s">
        <v>320</v>
      </c>
      <c r="B945" s="22" t="s">
        <v>151</v>
      </c>
      <c r="C945" s="21" t="s">
        <v>152</v>
      </c>
      <c r="D945" s="24">
        <v>4</v>
      </c>
      <c r="E945" t="s">
        <v>196</v>
      </c>
      <c r="F945">
        <v>0.33383888091127639</v>
      </c>
      <c r="G945">
        <v>4.7821221218737593</v>
      </c>
      <c r="H945">
        <v>6.0547479918792471</v>
      </c>
      <c r="I945">
        <v>22.60523941880399</v>
      </c>
      <c r="J945">
        <v>3.3206008811508043E-2</v>
      </c>
      <c r="K945">
        <v>7.1183708115626727</v>
      </c>
      <c r="L945">
        <v>0.47348563200400684</v>
      </c>
      <c r="M945">
        <v>0.2668408898012356</v>
      </c>
      <c r="N945">
        <v>0.4104647786063691</v>
      </c>
      <c r="O945">
        <v>15.553956489059628</v>
      </c>
      <c r="P945" s="3">
        <v>41.398085501678835</v>
      </c>
      <c r="Q945" s="3">
        <v>2.2358372959703354</v>
      </c>
    </row>
    <row r="946" spans="1:17" x14ac:dyDescent="0.3">
      <c r="A946" s="5" t="s">
        <v>321</v>
      </c>
      <c r="B946" s="22" t="s">
        <v>151</v>
      </c>
      <c r="C946" s="21" t="s">
        <v>152</v>
      </c>
      <c r="D946" s="24">
        <v>4</v>
      </c>
      <c r="E946" t="s">
        <v>196</v>
      </c>
      <c r="F946">
        <v>0.37835073169944655</v>
      </c>
      <c r="G946">
        <v>4.8846392417626037</v>
      </c>
      <c r="H946">
        <v>6.0600406037602603</v>
      </c>
      <c r="I946">
        <v>22.77351663532114</v>
      </c>
      <c r="J946">
        <v>4.9809013217262069E-2</v>
      </c>
      <c r="K946">
        <v>7.2041343153164394</v>
      </c>
      <c r="L946">
        <v>0.49745958805484258</v>
      </c>
      <c r="M946">
        <v>0.27368296389870322</v>
      </c>
      <c r="N946">
        <v>0.4182093970706402</v>
      </c>
      <c r="O946">
        <v>14.792193502588944</v>
      </c>
      <c r="P946" s="3">
        <v>43.140864117876923</v>
      </c>
      <c r="Q946" s="3">
        <v>2.289896774583676</v>
      </c>
    </row>
    <row r="947" spans="1:17" x14ac:dyDescent="0.3">
      <c r="A947" s="5" t="s">
        <v>323</v>
      </c>
      <c r="B947" s="22" t="s">
        <v>151</v>
      </c>
      <c r="C947" s="21" t="s">
        <v>152</v>
      </c>
      <c r="D947" s="24">
        <v>4</v>
      </c>
      <c r="E947" t="s">
        <v>196</v>
      </c>
      <c r="F947">
        <v>0.37835073169944655</v>
      </c>
      <c r="G947">
        <v>4.9027304982135771</v>
      </c>
      <c r="H947">
        <v>5.9065548592108748</v>
      </c>
      <c r="I947">
        <v>22.637959988682326</v>
      </c>
      <c r="J947">
        <v>5.8110515420139085E-2</v>
      </c>
      <c r="K947">
        <v>7.2470160671933233</v>
      </c>
      <c r="L947">
        <v>0.59934890127089469</v>
      </c>
      <c r="M947">
        <v>0.2668408898012356</v>
      </c>
      <c r="N947">
        <v>0.4182093970706402</v>
      </c>
      <c r="O947">
        <v>13.299759896442291</v>
      </c>
      <c r="P947" s="3">
        <v>45.858118606839348</v>
      </c>
      <c r="Q947" s="3">
        <v>2.2906486036448617</v>
      </c>
    </row>
    <row r="948" spans="1:17" x14ac:dyDescent="0.3">
      <c r="A948" s="5" t="s">
        <v>324</v>
      </c>
      <c r="B948" s="22" t="s">
        <v>151</v>
      </c>
      <c r="C948" s="21" t="s">
        <v>152</v>
      </c>
      <c r="D948" s="24">
        <v>4</v>
      </c>
      <c r="E948" t="s">
        <v>196</v>
      </c>
      <c r="F948">
        <v>0.34125752270930476</v>
      </c>
      <c r="G948">
        <v>4.8183046347757044</v>
      </c>
      <c r="H948">
        <v>6.0547479918792471</v>
      </c>
      <c r="I948">
        <v>22.745470432568279</v>
      </c>
      <c r="J948">
        <v>4.150751101438506E-2</v>
      </c>
      <c r="K948">
        <v>7.3041917363625011</v>
      </c>
      <c r="L948">
        <v>0.49745958805484258</v>
      </c>
      <c r="M948">
        <v>0.25315674160630047</v>
      </c>
      <c r="N948">
        <v>0.42595401553491136</v>
      </c>
      <c r="O948">
        <v>15.07979789544012</v>
      </c>
      <c r="P948" s="3">
        <v>42.335007626788368</v>
      </c>
      <c r="Q948" s="3">
        <v>2.1236138731512577</v>
      </c>
    </row>
    <row r="949" spans="1:17" x14ac:dyDescent="0.3">
      <c r="A949" s="5" t="s">
        <v>325</v>
      </c>
      <c r="B949" s="22" t="s">
        <v>151</v>
      </c>
      <c r="C949" s="21" t="s">
        <v>152</v>
      </c>
      <c r="D949" s="24">
        <v>4</v>
      </c>
      <c r="E949" t="s">
        <v>196</v>
      </c>
      <c r="F949">
        <v>0.34125752270930476</v>
      </c>
      <c r="G949">
        <v>4.7218179337038508</v>
      </c>
      <c r="H949">
        <v>6.2611598552387671</v>
      </c>
      <c r="I949">
        <v>22.647308722933278</v>
      </c>
      <c r="J949">
        <v>4.9809013217262069E-2</v>
      </c>
      <c r="K949">
        <v>7.1898403980241454</v>
      </c>
      <c r="L949">
        <v>0.53941401114380527</v>
      </c>
      <c r="M949">
        <v>0.27368296389870322</v>
      </c>
      <c r="N949">
        <v>0.4182093970706402</v>
      </c>
      <c r="O949">
        <v>14.485156380491064</v>
      </c>
      <c r="P949" s="3">
        <v>42.824070909186638</v>
      </c>
      <c r="Q949" s="3">
        <v>2.217972780905165</v>
      </c>
    </row>
    <row r="950" spans="1:17" x14ac:dyDescent="0.3">
      <c r="A950" s="5" t="s">
        <v>326</v>
      </c>
      <c r="B950" s="22" t="s">
        <v>151</v>
      </c>
      <c r="C950" s="21" t="s">
        <v>152</v>
      </c>
      <c r="D950" s="24">
        <v>4</v>
      </c>
      <c r="E950" t="s">
        <v>196</v>
      </c>
      <c r="F950">
        <v>0.34125752270930476</v>
      </c>
      <c r="G950">
        <v>4.7097570960698683</v>
      </c>
      <c r="H950">
        <v>5.6048759819931142</v>
      </c>
      <c r="I950">
        <v>22.151825807632775</v>
      </c>
      <c r="J950">
        <v>5.8110515420139085E-2</v>
      </c>
      <c r="K950">
        <v>7.1398116875011137</v>
      </c>
      <c r="L950">
        <v>0.59934890127089469</v>
      </c>
      <c r="M950">
        <v>0.25315674160630047</v>
      </c>
      <c r="N950">
        <v>0.4182093970706402</v>
      </c>
      <c r="O950">
        <v>13.688414481376315</v>
      </c>
      <c r="P950" s="3">
        <v>44.151504670383027</v>
      </c>
      <c r="Q950" s="3">
        <v>2.2901608744956898</v>
      </c>
    </row>
    <row r="951" spans="1:17" x14ac:dyDescent="0.3">
      <c r="A951" s="5" t="s">
        <v>327</v>
      </c>
      <c r="B951" s="22" t="s">
        <v>151</v>
      </c>
      <c r="C951" s="21" t="s">
        <v>152</v>
      </c>
      <c r="D951" s="24">
        <v>4</v>
      </c>
      <c r="E951" t="s">
        <v>196</v>
      </c>
      <c r="F951">
        <v>0.37093208990141818</v>
      </c>
      <c r="G951">
        <v>4.4383882493052802</v>
      </c>
      <c r="H951">
        <v>7.2614635007502866</v>
      </c>
      <c r="I951">
        <v>22.549147013298274</v>
      </c>
      <c r="J951">
        <v>4.9809013217262069E-2</v>
      </c>
      <c r="K951">
        <v>7.4113961160547097</v>
      </c>
      <c r="L951">
        <v>0.51544005509296942</v>
      </c>
      <c r="M951">
        <v>0.25315674160630047</v>
      </c>
      <c r="N951">
        <v>0.39497554167782684</v>
      </c>
      <c r="O951">
        <v>13.649549022882912</v>
      </c>
      <c r="P951" s="3">
        <v>42.763245407591029</v>
      </c>
      <c r="Q951" s="3">
        <v>1.7769811433001654</v>
      </c>
    </row>
    <row r="952" spans="1:17" x14ac:dyDescent="0.3">
      <c r="A952" s="5" t="s">
        <v>333</v>
      </c>
      <c r="B952" s="22" t="s">
        <v>151</v>
      </c>
      <c r="C952" s="21" t="s">
        <v>152</v>
      </c>
      <c r="D952" s="24">
        <v>4</v>
      </c>
      <c r="E952" t="s">
        <v>196</v>
      </c>
      <c r="F952">
        <v>0.34867616450733308</v>
      </c>
      <c r="G952">
        <v>4.5469357880111154</v>
      </c>
      <c r="H952">
        <v>6.0071144849501277</v>
      </c>
      <c r="I952">
        <v>22.951142586089247</v>
      </c>
      <c r="J952">
        <v>4.9809013217262069E-2</v>
      </c>
      <c r="K952">
        <v>7.1969873566702924</v>
      </c>
      <c r="L952">
        <v>0.59335541225818578</v>
      </c>
      <c r="M952">
        <v>0.27368296389870322</v>
      </c>
      <c r="N952">
        <v>0.40272016014209799</v>
      </c>
      <c r="O952">
        <v>14.368560005010856</v>
      </c>
      <c r="P952" s="3">
        <v>42.099478737929026</v>
      </c>
      <c r="Q952" s="3">
        <v>2.30960610655587</v>
      </c>
    </row>
    <row r="953" spans="1:17" x14ac:dyDescent="0.3">
      <c r="A953" s="5" t="s">
        <v>334</v>
      </c>
      <c r="B953" s="22" t="s">
        <v>151</v>
      </c>
      <c r="C953" s="21" t="s">
        <v>152</v>
      </c>
      <c r="D953" s="24">
        <v>4</v>
      </c>
      <c r="E953" t="s">
        <v>196</v>
      </c>
      <c r="F953">
        <v>0.27448974652704944</v>
      </c>
      <c r="G953">
        <v>5.5419548928146085</v>
      </c>
      <c r="H953">
        <v>6.1500150057374867</v>
      </c>
      <c r="I953">
        <v>23.138117271108303</v>
      </c>
      <c r="J953">
        <v>2.4904506608631034E-2</v>
      </c>
      <c r="K953">
        <v>6.232147939440412</v>
      </c>
      <c r="L953">
        <v>0.38957678582608157</v>
      </c>
      <c r="M953">
        <v>0.32157748258097624</v>
      </c>
      <c r="N953">
        <v>0.40272016014209799</v>
      </c>
      <c r="O953">
        <v>13.976018874227494</v>
      </c>
      <c r="P953" s="3">
        <v>47.674236811590696</v>
      </c>
      <c r="Q953" s="3">
        <v>2.6417186206310319</v>
      </c>
    </row>
    <row r="954" spans="1:17" x14ac:dyDescent="0.3">
      <c r="A954" s="5" t="s">
        <v>337</v>
      </c>
      <c r="B954" s="22" t="s">
        <v>151</v>
      </c>
      <c r="C954" s="21" t="s">
        <v>152</v>
      </c>
      <c r="D954" s="24">
        <v>4</v>
      </c>
      <c r="E954" t="s">
        <v>196</v>
      </c>
      <c r="F954">
        <v>0.38576937349747492</v>
      </c>
      <c r="G954">
        <v>3.6845858971814214</v>
      </c>
      <c r="H954">
        <v>6.3299638096919413</v>
      </c>
      <c r="I954">
        <v>22.558495747549223</v>
      </c>
      <c r="J954">
        <v>4.150751101438506E-2</v>
      </c>
      <c r="K954">
        <v>7.8044788415928092</v>
      </c>
      <c r="L954">
        <v>0.55739447818193211</v>
      </c>
      <c r="M954">
        <v>0.19157807472909225</v>
      </c>
      <c r="N954">
        <v>0.45693248939199577</v>
      </c>
      <c r="O954">
        <v>15.53841030566227</v>
      </c>
      <c r="P954" s="3">
        <v>35.268471188303032</v>
      </c>
      <c r="Q954" s="3">
        <v>1.5462546631235659</v>
      </c>
    </row>
    <row r="955" spans="1:17" x14ac:dyDescent="0.3">
      <c r="A955" s="5" t="s">
        <v>339</v>
      </c>
      <c r="B955" s="22" t="s">
        <v>151</v>
      </c>
      <c r="C955" s="21" t="s">
        <v>152</v>
      </c>
      <c r="D955" s="24">
        <v>4</v>
      </c>
      <c r="E955" t="s">
        <v>196</v>
      </c>
      <c r="F955">
        <v>0.63058455283241088</v>
      </c>
      <c r="G955">
        <v>4.1971714966256446</v>
      </c>
      <c r="H955">
        <v>6.5099126136463941</v>
      </c>
      <c r="I955">
        <v>22.390218531032072</v>
      </c>
      <c r="J955">
        <v>8.3015022028770119E-2</v>
      </c>
      <c r="K955">
        <v>7.597217040854539</v>
      </c>
      <c r="L955">
        <v>0.61732936830902152</v>
      </c>
      <c r="M955">
        <v>0.24631466750883285</v>
      </c>
      <c r="N955">
        <v>0.43369863399918246</v>
      </c>
      <c r="O955">
        <v>14.621185485217975</v>
      </c>
      <c r="P955" s="3">
        <v>39.743532516821801</v>
      </c>
      <c r="Q955" s="3">
        <v>1.9256387043539949</v>
      </c>
    </row>
    <row r="956" spans="1:17" x14ac:dyDescent="0.3">
      <c r="A956" s="5" t="s">
        <v>341</v>
      </c>
      <c r="B956" s="22" t="s">
        <v>151</v>
      </c>
      <c r="C956" s="21" t="s">
        <v>152</v>
      </c>
      <c r="D956" s="24">
        <v>4</v>
      </c>
      <c r="E956" t="s">
        <v>196</v>
      </c>
      <c r="F956">
        <v>0.37093208990141818</v>
      </c>
      <c r="G956">
        <v>4.6494529078999598</v>
      </c>
      <c r="H956">
        <v>5.827165680995674</v>
      </c>
      <c r="I956">
        <v>22.862329610705192</v>
      </c>
      <c r="J956">
        <v>4.9809013217262069E-2</v>
      </c>
      <c r="K956">
        <v>7.1826934393779984</v>
      </c>
      <c r="L956">
        <v>0.58736192324547676</v>
      </c>
      <c r="M956">
        <v>0.28736711209363835</v>
      </c>
      <c r="N956">
        <v>0.4182093970706402</v>
      </c>
      <c r="O956">
        <v>14.838832052781026</v>
      </c>
      <c r="P956" s="3">
        <v>41.858128710457606</v>
      </c>
      <c r="Q956" s="3">
        <v>2.4952254005804879</v>
      </c>
    </row>
    <row r="957" spans="1:17" x14ac:dyDescent="0.3">
      <c r="A957" s="5" t="s">
        <v>416</v>
      </c>
      <c r="B957" s="22" t="s">
        <v>151</v>
      </c>
      <c r="C957" s="21" t="s">
        <v>152</v>
      </c>
      <c r="D957" s="24">
        <v>4</v>
      </c>
      <c r="E957" t="s">
        <v>196</v>
      </c>
      <c r="F957">
        <v>0.19288468674873746</v>
      </c>
      <c r="G957">
        <v>8.1772479158396187</v>
      </c>
      <c r="H957">
        <v>5.7477765027804741</v>
      </c>
      <c r="I957">
        <v>22.399567265283029</v>
      </c>
      <c r="J957">
        <v>2.4904506608631034E-2</v>
      </c>
      <c r="K957">
        <v>5.9033878417176373</v>
      </c>
      <c r="L957">
        <v>0.10788280222876104</v>
      </c>
      <c r="M957">
        <v>0.25315674160630047</v>
      </c>
      <c r="N957">
        <v>0.34076321242792906</v>
      </c>
      <c r="O957">
        <v>13.571818105896108</v>
      </c>
      <c r="P957" s="3">
        <v>58.060515766591124</v>
      </c>
      <c r="Q957" s="3">
        <v>2.2344954435372681</v>
      </c>
    </row>
    <row r="958" spans="1:17" x14ac:dyDescent="0.3">
      <c r="A958" s="5" t="s">
        <v>496</v>
      </c>
      <c r="B958" s="22" t="s">
        <v>151</v>
      </c>
      <c r="C958" s="21" t="s">
        <v>152</v>
      </c>
      <c r="D958" s="24">
        <v>4</v>
      </c>
      <c r="E958" t="s">
        <v>196</v>
      </c>
      <c r="F958">
        <v>5.193049258619855E-2</v>
      </c>
      <c r="G958">
        <v>5.6987457820563705</v>
      </c>
      <c r="H958">
        <v>8.1453296848795116</v>
      </c>
      <c r="I958">
        <v>23.334440690378312</v>
      </c>
      <c r="J958">
        <v>8.3015022028770109E-3</v>
      </c>
      <c r="K958">
        <v>8.2404433190077917</v>
      </c>
      <c r="L958">
        <v>0.11986978025417894</v>
      </c>
      <c r="M958">
        <v>0.22578844521643016</v>
      </c>
      <c r="N958">
        <v>0.2245939354638623</v>
      </c>
      <c r="O958">
        <v>10.423715967930516</v>
      </c>
      <c r="P958" s="3">
        <v>55.676926478841551</v>
      </c>
      <c r="Q958" s="3">
        <v>1.4180600073372853</v>
      </c>
    </row>
    <row r="959" spans="1:17" x14ac:dyDescent="0.3">
      <c r="A959" t="s">
        <v>350</v>
      </c>
      <c r="B959" s="19" t="s">
        <v>351</v>
      </c>
      <c r="C959" s="21" t="s">
        <v>171</v>
      </c>
      <c r="D959" s="24">
        <v>5</v>
      </c>
      <c r="E959" t="s">
        <v>352</v>
      </c>
      <c r="F959">
        <v>0.20799999999999999</v>
      </c>
      <c r="G959">
        <v>9.8000000000000007</v>
      </c>
      <c r="H959">
        <v>4.5199999999999996</v>
      </c>
      <c r="I959">
        <v>22.9</v>
      </c>
      <c r="J959">
        <v>2.1999999999999999E-2</v>
      </c>
      <c r="K959">
        <v>5.34</v>
      </c>
      <c r="L959">
        <v>0.25</v>
      </c>
      <c r="M959">
        <v>0.47199999999999998</v>
      </c>
      <c r="N959">
        <v>0.40700000000000003</v>
      </c>
      <c r="O959">
        <v>14.1</v>
      </c>
      <c r="P959" s="3">
        <v>61.493525427213939</v>
      </c>
      <c r="Q959" s="3">
        <v>5.1403117591342085</v>
      </c>
    </row>
    <row r="960" spans="1:17" x14ac:dyDescent="0.3">
      <c r="A960" t="s">
        <v>350</v>
      </c>
      <c r="B960" s="19" t="s">
        <v>351</v>
      </c>
      <c r="C960" s="21" t="s">
        <v>171</v>
      </c>
      <c r="D960" s="24">
        <v>5</v>
      </c>
      <c r="E960" t="s">
        <v>352</v>
      </c>
      <c r="F960">
        <v>0.19400000000000001</v>
      </c>
      <c r="G960">
        <v>10.3</v>
      </c>
      <c r="H960">
        <v>4.3899999999999997</v>
      </c>
      <c r="I960">
        <v>22.9</v>
      </c>
      <c r="J960">
        <v>1.7999999999999999E-2</v>
      </c>
      <c r="K960">
        <v>4.97</v>
      </c>
      <c r="L960">
        <v>0.35</v>
      </c>
      <c r="M960">
        <v>0.52500000000000002</v>
      </c>
      <c r="N960">
        <v>0.40799999999999997</v>
      </c>
      <c r="O960">
        <v>13.8</v>
      </c>
      <c r="P960" s="3">
        <v>63.166659803154474</v>
      </c>
      <c r="Q960" s="3">
        <v>5.8431990464467409</v>
      </c>
    </row>
    <row r="961" spans="1:17" x14ac:dyDescent="0.3">
      <c r="A961" t="s">
        <v>353</v>
      </c>
      <c r="B961" s="19" t="s">
        <v>354</v>
      </c>
      <c r="C961" s="21" t="s">
        <v>171</v>
      </c>
      <c r="D961" s="24">
        <v>5</v>
      </c>
      <c r="E961" t="s">
        <v>352</v>
      </c>
      <c r="F961">
        <v>0.25</v>
      </c>
      <c r="G961">
        <v>8.5630000000000006</v>
      </c>
      <c r="H961">
        <v>4.7</v>
      </c>
      <c r="I961">
        <v>22.75</v>
      </c>
      <c r="J961">
        <v>0.03</v>
      </c>
      <c r="K961">
        <v>4.84</v>
      </c>
      <c r="L961">
        <v>0.31</v>
      </c>
      <c r="M961">
        <v>0.38</v>
      </c>
      <c r="N961">
        <v>0.41</v>
      </c>
      <c r="O961">
        <v>14.09</v>
      </c>
      <c r="P961" s="3">
        <v>58.270391222625783</v>
      </c>
      <c r="Q961" s="3">
        <v>4.0266207592722356</v>
      </c>
    </row>
    <row r="962" spans="1:17" x14ac:dyDescent="0.3">
      <c r="A962" t="s">
        <v>355</v>
      </c>
      <c r="B962" s="19" t="s">
        <v>177</v>
      </c>
      <c r="C962" s="21" t="s">
        <v>171</v>
      </c>
      <c r="D962" s="24">
        <v>5</v>
      </c>
      <c r="E962" t="s">
        <v>352</v>
      </c>
      <c r="F962">
        <v>0.16600000000000001</v>
      </c>
      <c r="G962">
        <v>11.46</v>
      </c>
      <c r="H962">
        <v>3.41</v>
      </c>
      <c r="I962">
        <v>24.54</v>
      </c>
      <c r="J962">
        <v>2.35E-2</v>
      </c>
      <c r="K962">
        <v>3.74</v>
      </c>
      <c r="L962">
        <v>0.24</v>
      </c>
      <c r="M962">
        <v>0.379</v>
      </c>
      <c r="N962">
        <v>0.37</v>
      </c>
      <c r="O962">
        <v>11.41</v>
      </c>
      <c r="P962" s="3">
        <v>69.767914935483475</v>
      </c>
      <c r="Q962" s="3">
        <v>5.4530153055359376</v>
      </c>
    </row>
    <row r="963" spans="1:17" x14ac:dyDescent="0.3">
      <c r="A963" t="s">
        <v>355</v>
      </c>
      <c r="B963" s="19" t="s">
        <v>177</v>
      </c>
      <c r="C963" s="21" t="s">
        <v>171</v>
      </c>
      <c r="D963" s="24">
        <v>5</v>
      </c>
      <c r="E963" t="s">
        <v>352</v>
      </c>
      <c r="F963">
        <v>0.17299999999999999</v>
      </c>
      <c r="G963">
        <v>11.58</v>
      </c>
      <c r="H963">
        <v>3.42</v>
      </c>
      <c r="I963">
        <v>24.54</v>
      </c>
      <c r="J963">
        <v>2.3300000000000001E-2</v>
      </c>
      <c r="K963">
        <v>3.75</v>
      </c>
      <c r="L963">
        <v>0.19</v>
      </c>
      <c r="M963">
        <v>0.40799999999999997</v>
      </c>
      <c r="N963">
        <v>0.37</v>
      </c>
      <c r="O963">
        <v>11.48</v>
      </c>
      <c r="P963" s="3">
        <v>69.858545878202222</v>
      </c>
      <c r="Q963" s="3">
        <v>5.8297759415077852</v>
      </c>
    </row>
    <row r="964" spans="1:17" x14ac:dyDescent="0.3">
      <c r="A964" t="s">
        <v>355</v>
      </c>
      <c r="B964" s="19" t="s">
        <v>177</v>
      </c>
      <c r="C964" s="21" t="s">
        <v>171</v>
      </c>
      <c r="D964" s="24">
        <v>5</v>
      </c>
      <c r="E964" t="s">
        <v>352</v>
      </c>
      <c r="F964">
        <v>0.17899999999999999</v>
      </c>
      <c r="G964">
        <v>11.55</v>
      </c>
      <c r="H964">
        <v>3.48</v>
      </c>
      <c r="I964">
        <v>24.54</v>
      </c>
      <c r="J964">
        <v>2.52E-2</v>
      </c>
      <c r="K964">
        <v>3.75</v>
      </c>
      <c r="L964">
        <v>0.22</v>
      </c>
      <c r="M964">
        <v>0.40899999999999997</v>
      </c>
      <c r="N964">
        <v>0.38</v>
      </c>
      <c r="O964">
        <v>11.45</v>
      </c>
      <c r="P964" s="3">
        <v>69.859022291731193</v>
      </c>
      <c r="Q964" s="3">
        <v>5.7482754686047759</v>
      </c>
    </row>
    <row r="965" spans="1:17" x14ac:dyDescent="0.3">
      <c r="A965" t="s">
        <v>355</v>
      </c>
      <c r="B965" s="19" t="s">
        <v>174</v>
      </c>
      <c r="C965" s="21" t="s">
        <v>171</v>
      </c>
      <c r="D965" s="24">
        <v>5</v>
      </c>
      <c r="E965" t="s">
        <v>352</v>
      </c>
      <c r="F965">
        <v>0.16</v>
      </c>
      <c r="G965">
        <v>11.09</v>
      </c>
      <c r="H965">
        <v>3.62</v>
      </c>
      <c r="I965">
        <v>24.21</v>
      </c>
      <c r="J965">
        <v>1.7600000000000001E-2</v>
      </c>
      <c r="K965">
        <v>4.03</v>
      </c>
      <c r="L965">
        <v>0.219</v>
      </c>
      <c r="M965">
        <v>0.42</v>
      </c>
      <c r="N965">
        <v>0.371</v>
      </c>
      <c r="O965">
        <v>11.92</v>
      </c>
      <c r="P965" s="3">
        <v>68.129381802152864</v>
      </c>
      <c r="Q965" s="3">
        <v>5.678771220150777</v>
      </c>
    </row>
    <row r="966" spans="1:17" x14ac:dyDescent="0.3">
      <c r="A966" t="s">
        <v>356</v>
      </c>
      <c r="B966" s="19" t="s">
        <v>177</v>
      </c>
      <c r="C966" s="21" t="s">
        <v>171</v>
      </c>
      <c r="D966" s="24">
        <v>5</v>
      </c>
      <c r="E966" t="s">
        <v>352</v>
      </c>
      <c r="F966">
        <v>0.191</v>
      </c>
      <c r="G966">
        <v>9.9179999999999993</v>
      </c>
      <c r="H966">
        <v>3.8</v>
      </c>
      <c r="I966">
        <v>23.89</v>
      </c>
      <c r="J966">
        <v>2.01E-2</v>
      </c>
      <c r="K966">
        <v>4.2</v>
      </c>
      <c r="L966">
        <v>0.25</v>
      </c>
      <c r="M966">
        <v>0.51</v>
      </c>
      <c r="N966">
        <v>0.38</v>
      </c>
      <c r="O966">
        <v>13.14</v>
      </c>
      <c r="P966" s="3">
        <v>63.427204261434163</v>
      </c>
      <c r="Q966" s="3">
        <v>6.511050477412307</v>
      </c>
    </row>
    <row r="967" spans="1:17" x14ac:dyDescent="0.3">
      <c r="A967" t="s">
        <v>356</v>
      </c>
      <c r="B967" s="19" t="s">
        <v>243</v>
      </c>
      <c r="C967" s="21" t="s">
        <v>171</v>
      </c>
      <c r="D967" s="24">
        <v>5</v>
      </c>
      <c r="E967" t="s">
        <v>352</v>
      </c>
      <c r="F967">
        <v>0.22</v>
      </c>
      <c r="G967">
        <v>11.61</v>
      </c>
      <c r="H967">
        <v>2.68</v>
      </c>
      <c r="I967">
        <v>23.53</v>
      </c>
      <c r="J967">
        <v>8.3000000000000001E-3</v>
      </c>
      <c r="K967">
        <v>2.96</v>
      </c>
      <c r="L967">
        <v>0.17</v>
      </c>
      <c r="M967">
        <v>0.627</v>
      </c>
      <c r="N967">
        <v>0.42799999999999999</v>
      </c>
      <c r="O967">
        <v>13.23</v>
      </c>
      <c r="P967" s="3">
        <v>66.847099891990595</v>
      </c>
      <c r="Q967" s="3">
        <v>10.82615948957206</v>
      </c>
    </row>
    <row r="968" spans="1:17" x14ac:dyDescent="0.3">
      <c r="A968" t="s">
        <v>357</v>
      </c>
      <c r="B968" s="19" t="s">
        <v>177</v>
      </c>
      <c r="C968" s="21" t="s">
        <v>171</v>
      </c>
      <c r="D968" s="24">
        <v>5</v>
      </c>
      <c r="E968" t="s">
        <v>352</v>
      </c>
      <c r="F968">
        <v>0.2</v>
      </c>
      <c r="G968">
        <v>10.94</v>
      </c>
      <c r="H968">
        <v>2.84</v>
      </c>
      <c r="I968">
        <v>24.18</v>
      </c>
      <c r="J968">
        <v>4.2999999999999997E-2</v>
      </c>
      <c r="K968">
        <v>3.92</v>
      </c>
      <c r="L968">
        <v>0.18</v>
      </c>
      <c r="M968">
        <v>0.61</v>
      </c>
      <c r="N968">
        <v>0.35</v>
      </c>
      <c r="O968">
        <v>12.66</v>
      </c>
      <c r="P968" s="3">
        <v>66.504895903273251</v>
      </c>
      <c r="Q968" s="3">
        <v>10.028181721472174</v>
      </c>
    </row>
    <row r="969" spans="1:17" x14ac:dyDescent="0.3">
      <c r="A969" t="s">
        <v>358</v>
      </c>
      <c r="B969" s="19" t="s">
        <v>243</v>
      </c>
      <c r="C969" s="21" t="s">
        <v>171</v>
      </c>
      <c r="D969" s="24">
        <v>5</v>
      </c>
      <c r="E969" t="s">
        <v>352</v>
      </c>
      <c r="F969">
        <v>0.28000000000000003</v>
      </c>
      <c r="G969">
        <v>7.2610000000000001</v>
      </c>
      <c r="H969">
        <v>5.05</v>
      </c>
      <c r="I969">
        <v>22.77</v>
      </c>
      <c r="J969">
        <v>1.4E-2</v>
      </c>
      <c r="K969">
        <v>5.14</v>
      </c>
      <c r="L969">
        <v>0.33</v>
      </c>
      <c r="M969">
        <v>0.29499999999999998</v>
      </c>
      <c r="N969">
        <v>0.40300000000000002</v>
      </c>
      <c r="O969">
        <v>13.42</v>
      </c>
      <c r="P969" s="3">
        <v>55.420348922762187</v>
      </c>
      <c r="Q969" s="3">
        <v>2.942154581573285</v>
      </c>
    </row>
    <row r="970" spans="1:17" x14ac:dyDescent="0.3">
      <c r="A970" t="s">
        <v>359</v>
      </c>
      <c r="B970" s="19" t="s">
        <v>243</v>
      </c>
      <c r="C970" s="21" t="s">
        <v>171</v>
      </c>
      <c r="D970" s="24">
        <v>5</v>
      </c>
      <c r="E970" t="s">
        <v>352</v>
      </c>
      <c r="F970">
        <v>0.28000000000000003</v>
      </c>
      <c r="G970">
        <v>7.4349999999999996</v>
      </c>
      <c r="H970">
        <v>5.04</v>
      </c>
      <c r="I970">
        <v>23</v>
      </c>
      <c r="J970">
        <v>0.02</v>
      </c>
      <c r="K970">
        <v>5.42</v>
      </c>
      <c r="L970">
        <v>0.32</v>
      </c>
      <c r="M970">
        <v>0.379</v>
      </c>
      <c r="N970">
        <v>0.41699999999999998</v>
      </c>
      <c r="O970">
        <v>13.81</v>
      </c>
      <c r="P970" s="3">
        <v>55.297629700092074</v>
      </c>
      <c r="Q970" s="3">
        <v>3.755675034330995</v>
      </c>
    </row>
    <row r="971" spans="1:17" x14ac:dyDescent="0.3">
      <c r="A971" t="s">
        <v>359</v>
      </c>
      <c r="B971" s="19" t="s">
        <v>331</v>
      </c>
      <c r="C971" s="21" t="s">
        <v>171</v>
      </c>
      <c r="D971" s="24">
        <v>5</v>
      </c>
      <c r="E971" t="s">
        <v>352</v>
      </c>
      <c r="F971">
        <v>0.19</v>
      </c>
      <c r="G971">
        <v>7.81</v>
      </c>
      <c r="H971">
        <v>4.9400000000000004</v>
      </c>
      <c r="I971">
        <v>23.23</v>
      </c>
      <c r="J971">
        <v>0.02</v>
      </c>
      <c r="K971">
        <v>5.62</v>
      </c>
      <c r="L971">
        <v>0.32</v>
      </c>
      <c r="M971">
        <v>0.4</v>
      </c>
      <c r="N971">
        <v>0.41</v>
      </c>
      <c r="O971">
        <v>14.13</v>
      </c>
      <c r="P971" s="3">
        <v>55.9467859002377</v>
      </c>
      <c r="Q971" s="3">
        <v>4.0323846125566138</v>
      </c>
    </row>
    <row r="972" spans="1:17" x14ac:dyDescent="0.3">
      <c r="A972" t="s">
        <v>360</v>
      </c>
      <c r="B972" s="19" t="s">
        <v>243</v>
      </c>
      <c r="C972" s="21" t="s">
        <v>171</v>
      </c>
      <c r="D972" s="24">
        <v>5</v>
      </c>
      <c r="E972" t="s">
        <v>352</v>
      </c>
      <c r="F972">
        <v>0.31</v>
      </c>
      <c r="G972">
        <v>5.81</v>
      </c>
      <c r="H972">
        <v>5.726</v>
      </c>
      <c r="I972">
        <v>22.59</v>
      </c>
      <c r="J972">
        <v>0.02</v>
      </c>
      <c r="K972">
        <v>5.9</v>
      </c>
      <c r="L972">
        <v>0.35</v>
      </c>
      <c r="M972">
        <v>0.27500000000000002</v>
      </c>
      <c r="N972">
        <v>0.41</v>
      </c>
      <c r="O972">
        <v>13.85</v>
      </c>
      <c r="P972" s="3">
        <v>49.079934961336967</v>
      </c>
      <c r="Q972" s="3">
        <v>2.4316142113666603</v>
      </c>
    </row>
    <row r="973" spans="1:17" x14ac:dyDescent="0.3">
      <c r="A973" t="s">
        <v>361</v>
      </c>
      <c r="B973" s="19" t="s">
        <v>243</v>
      </c>
      <c r="C973" s="21" t="s">
        <v>171</v>
      </c>
      <c r="D973" s="24">
        <v>5</v>
      </c>
      <c r="E973" t="s">
        <v>352</v>
      </c>
      <c r="F973">
        <v>0.27</v>
      </c>
      <c r="G973">
        <v>7.6710000000000003</v>
      </c>
      <c r="H973">
        <v>4.83</v>
      </c>
      <c r="I973">
        <v>22.83</v>
      </c>
      <c r="J973">
        <v>1.7000000000000001E-2</v>
      </c>
      <c r="K973">
        <v>5.25</v>
      </c>
      <c r="L973">
        <v>0.31</v>
      </c>
      <c r="M973">
        <v>0.39100000000000001</v>
      </c>
      <c r="N973">
        <v>0.42</v>
      </c>
      <c r="O973">
        <v>13.89</v>
      </c>
      <c r="P973" s="3">
        <v>55.926403866339435</v>
      </c>
      <c r="Q973" s="3">
        <v>4.0314632267209616</v>
      </c>
    </row>
    <row r="974" spans="1:17" x14ac:dyDescent="0.3">
      <c r="A974" t="s">
        <v>361</v>
      </c>
      <c r="B974" s="19" t="s">
        <v>243</v>
      </c>
      <c r="C974" s="21" t="s">
        <v>171</v>
      </c>
      <c r="D974" s="24">
        <v>5</v>
      </c>
      <c r="E974" t="s">
        <v>352</v>
      </c>
      <c r="F974">
        <v>0.27</v>
      </c>
      <c r="G974">
        <v>7.6890000000000001</v>
      </c>
      <c r="H974">
        <v>4.67</v>
      </c>
      <c r="I974">
        <v>23.1</v>
      </c>
      <c r="J974">
        <v>2.1000000000000001E-2</v>
      </c>
      <c r="K974">
        <v>5.26</v>
      </c>
      <c r="L974">
        <v>0.31</v>
      </c>
      <c r="M974">
        <v>0.40300000000000002</v>
      </c>
      <c r="N974">
        <v>0.41699999999999998</v>
      </c>
      <c r="O974">
        <v>13.69</v>
      </c>
      <c r="P974" s="3">
        <v>56.341244433650694</v>
      </c>
      <c r="Q974" s="3">
        <v>4.2861480010021165</v>
      </c>
    </row>
    <row r="975" spans="1:17" x14ac:dyDescent="0.3">
      <c r="A975" t="s">
        <v>362</v>
      </c>
      <c r="B975" s="19" t="s">
        <v>243</v>
      </c>
      <c r="C975" s="21" t="s">
        <v>171</v>
      </c>
      <c r="D975" s="24">
        <v>5</v>
      </c>
      <c r="E975" t="s">
        <v>352</v>
      </c>
      <c r="F975">
        <v>0.3</v>
      </c>
      <c r="G975">
        <v>5.46</v>
      </c>
      <c r="H975">
        <v>5.9749999999999996</v>
      </c>
      <c r="I975">
        <v>22.16</v>
      </c>
      <c r="J975">
        <v>2.5999999999999999E-2</v>
      </c>
      <c r="K975">
        <v>6.28</v>
      </c>
      <c r="L975">
        <v>0.38</v>
      </c>
      <c r="M975">
        <v>0.27300000000000002</v>
      </c>
      <c r="N975">
        <v>0.40700000000000003</v>
      </c>
      <c r="O975">
        <v>13.86</v>
      </c>
      <c r="P975" s="3">
        <v>47.510552665161477</v>
      </c>
      <c r="Q975" s="3">
        <v>2.3160719942982659</v>
      </c>
    </row>
    <row r="976" spans="1:17" x14ac:dyDescent="0.3">
      <c r="A976" t="s">
        <v>363</v>
      </c>
      <c r="B976" s="19" t="s">
        <v>243</v>
      </c>
      <c r="C976" s="21" t="s">
        <v>171</v>
      </c>
      <c r="D976" s="24">
        <v>5</v>
      </c>
      <c r="E976" t="s">
        <v>352</v>
      </c>
      <c r="F976">
        <v>0.33</v>
      </c>
      <c r="G976">
        <v>5.31</v>
      </c>
      <c r="H976">
        <v>6.1130000000000004</v>
      </c>
      <c r="I976">
        <v>22.27</v>
      </c>
      <c r="J976">
        <v>2.1000000000000001E-2</v>
      </c>
      <c r="K976">
        <v>6.36</v>
      </c>
      <c r="L976">
        <v>0.38</v>
      </c>
      <c r="M976">
        <v>0.27700000000000002</v>
      </c>
      <c r="N976">
        <v>0.40899999999999997</v>
      </c>
      <c r="O976">
        <v>13.76</v>
      </c>
      <c r="P976" s="3">
        <v>46.996717375326625</v>
      </c>
      <c r="Q976" s="3">
        <v>2.2973952474106536</v>
      </c>
    </row>
    <row r="977" spans="1:17" x14ac:dyDescent="0.3">
      <c r="A977" t="s">
        <v>364</v>
      </c>
      <c r="B977" s="19" t="s">
        <v>365</v>
      </c>
      <c r="C977" s="21" t="s">
        <v>171</v>
      </c>
      <c r="D977" s="24">
        <v>5</v>
      </c>
      <c r="E977" t="s">
        <v>352</v>
      </c>
      <c r="F977">
        <v>0.32</v>
      </c>
      <c r="G977">
        <v>5.07</v>
      </c>
      <c r="H977">
        <v>6.09</v>
      </c>
      <c r="I977">
        <v>23</v>
      </c>
      <c r="J977">
        <v>0.05</v>
      </c>
      <c r="K977">
        <v>6.56</v>
      </c>
      <c r="L977">
        <v>0.49</v>
      </c>
      <c r="M977">
        <v>0.33</v>
      </c>
      <c r="N977">
        <v>0.41</v>
      </c>
      <c r="O977">
        <v>14.4</v>
      </c>
      <c r="P977" s="3">
        <v>44.720021436486235</v>
      </c>
      <c r="Q977" s="3">
        <v>2.7350006772951319</v>
      </c>
    </row>
    <row r="978" spans="1:17" x14ac:dyDescent="0.3">
      <c r="A978" t="s">
        <v>366</v>
      </c>
      <c r="B978" s="19" t="s">
        <v>177</v>
      </c>
      <c r="C978" s="21" t="s">
        <v>171</v>
      </c>
      <c r="D978" s="24">
        <v>5</v>
      </c>
      <c r="E978" t="s">
        <v>352</v>
      </c>
      <c r="F978">
        <v>0.21</v>
      </c>
      <c r="G978">
        <v>8.0220000000000002</v>
      </c>
      <c r="H978">
        <v>5.673</v>
      </c>
      <c r="I978">
        <v>23.28</v>
      </c>
      <c r="J978">
        <v>1.34E-2</v>
      </c>
      <c r="K978">
        <v>5.74</v>
      </c>
      <c r="L978">
        <v>0.2</v>
      </c>
      <c r="M978">
        <v>0.40899999999999997</v>
      </c>
      <c r="N978">
        <v>0.39</v>
      </c>
      <c r="O978">
        <v>12.51</v>
      </c>
      <c r="P978" s="3">
        <v>59.5694542610225</v>
      </c>
      <c r="Q978" s="3">
        <v>3.6063122154605241</v>
      </c>
    </row>
    <row r="979" spans="1:17" x14ac:dyDescent="0.3">
      <c r="A979" t="s">
        <v>367</v>
      </c>
      <c r="B979" s="19" t="s">
        <v>243</v>
      </c>
      <c r="C979" s="21" t="s">
        <v>171</v>
      </c>
      <c r="D979" s="24">
        <v>5</v>
      </c>
      <c r="E979" t="s">
        <v>352</v>
      </c>
      <c r="F979">
        <v>0.3</v>
      </c>
      <c r="G979">
        <v>6.3979999999999997</v>
      </c>
      <c r="H979">
        <v>5.3769999999999998</v>
      </c>
      <c r="I979">
        <v>22.81</v>
      </c>
      <c r="J979">
        <v>1.7000000000000001E-2</v>
      </c>
      <c r="K979">
        <v>5.95</v>
      </c>
      <c r="L979">
        <v>0.35</v>
      </c>
      <c r="M979">
        <v>0.30099999999999999</v>
      </c>
      <c r="N979">
        <v>0.41399999999999998</v>
      </c>
      <c r="O979">
        <v>13.93</v>
      </c>
      <c r="P979" s="3">
        <v>51.345638958455389</v>
      </c>
      <c r="Q979" s="3">
        <v>2.822894332737186</v>
      </c>
    </row>
    <row r="980" spans="1:17" x14ac:dyDescent="0.3">
      <c r="A980" t="s">
        <v>368</v>
      </c>
      <c r="B980" s="19" t="s">
        <v>243</v>
      </c>
      <c r="C980" s="21" t="s">
        <v>171</v>
      </c>
      <c r="D980" s="24">
        <v>5</v>
      </c>
      <c r="E980" t="s">
        <v>352</v>
      </c>
      <c r="F980">
        <v>0.32</v>
      </c>
      <c r="G980">
        <v>5.55</v>
      </c>
      <c r="H980">
        <v>6.0919999999999996</v>
      </c>
      <c r="I980">
        <v>22.4</v>
      </c>
      <c r="J980">
        <v>2.4E-2</v>
      </c>
      <c r="K980">
        <v>6.1</v>
      </c>
      <c r="L980">
        <v>0.36</v>
      </c>
      <c r="M980">
        <v>0.26600000000000001</v>
      </c>
      <c r="N980">
        <v>0.40300000000000002</v>
      </c>
      <c r="O980">
        <v>13.35</v>
      </c>
      <c r="P980" s="3">
        <v>48.854686587490932</v>
      </c>
      <c r="Q980" s="3">
        <v>2.2156207708191418</v>
      </c>
    </row>
    <row r="981" spans="1:17" x14ac:dyDescent="0.3">
      <c r="A981" t="s">
        <v>368</v>
      </c>
      <c r="B981" s="19" t="s">
        <v>177</v>
      </c>
      <c r="C981" s="21" t="s">
        <v>171</v>
      </c>
      <c r="D981" s="24">
        <v>5</v>
      </c>
      <c r="E981" t="s">
        <v>352</v>
      </c>
      <c r="F981">
        <v>0.27</v>
      </c>
      <c r="G981">
        <v>6.2309999999999999</v>
      </c>
      <c r="H981">
        <v>6.0629999999999997</v>
      </c>
      <c r="I981">
        <v>23.2</v>
      </c>
      <c r="J981">
        <v>2.5499999999999998E-2</v>
      </c>
      <c r="K981">
        <v>6.06</v>
      </c>
      <c r="L981">
        <v>0.33</v>
      </c>
      <c r="M981">
        <v>0.27800000000000002</v>
      </c>
      <c r="N981">
        <v>0.38</v>
      </c>
      <c r="O981">
        <v>13.45</v>
      </c>
      <c r="P981" s="3">
        <v>51.5608834792477</v>
      </c>
      <c r="Q981" s="3">
        <v>2.3240688543921411</v>
      </c>
    </row>
    <row r="982" spans="1:17" x14ac:dyDescent="0.3">
      <c r="A982" t="s">
        <v>369</v>
      </c>
      <c r="B982" s="19" t="s">
        <v>174</v>
      </c>
      <c r="C982" s="21" t="s">
        <v>171</v>
      </c>
      <c r="D982" s="24">
        <v>5</v>
      </c>
      <c r="E982" t="s">
        <v>352</v>
      </c>
      <c r="F982">
        <v>0.15</v>
      </c>
      <c r="G982">
        <v>11.63</v>
      </c>
      <c r="H982">
        <v>2.88</v>
      </c>
      <c r="I982">
        <v>23.78</v>
      </c>
      <c r="J982">
        <v>1.2800000000000001E-2</v>
      </c>
      <c r="K982">
        <v>3.28</v>
      </c>
      <c r="L982">
        <v>0.17</v>
      </c>
      <c r="M982">
        <v>0.69</v>
      </c>
      <c r="N982">
        <v>0.42699999999999999</v>
      </c>
      <c r="O982">
        <v>13.5</v>
      </c>
      <c r="P982" s="3">
        <v>66.436249127130736</v>
      </c>
      <c r="Q982" s="3">
        <v>11.057798703610452</v>
      </c>
    </row>
    <row r="983" spans="1:17" x14ac:dyDescent="0.3">
      <c r="A983" t="s">
        <v>369</v>
      </c>
      <c r="B983" s="19" t="s">
        <v>174</v>
      </c>
      <c r="C983" s="21" t="s">
        <v>171</v>
      </c>
      <c r="D983" s="24">
        <v>5</v>
      </c>
      <c r="E983" t="s">
        <v>352</v>
      </c>
      <c r="F983">
        <v>0.16</v>
      </c>
      <c r="G983">
        <v>12.63</v>
      </c>
      <c r="H983">
        <v>2.2599999999999998</v>
      </c>
      <c r="I983">
        <v>23.79</v>
      </c>
      <c r="J983">
        <v>1.0800000000000001E-2</v>
      </c>
      <c r="K983">
        <v>2.6</v>
      </c>
      <c r="L983">
        <v>0.13600000000000001</v>
      </c>
      <c r="M983">
        <v>0.76</v>
      </c>
      <c r="N983">
        <v>0.434</v>
      </c>
      <c r="O983">
        <v>13.91</v>
      </c>
      <c r="P983" s="3">
        <v>67.598144306203665</v>
      </c>
      <c r="Q983" s="3">
        <v>14.857791719993321</v>
      </c>
    </row>
    <row r="984" spans="1:17" x14ac:dyDescent="0.3">
      <c r="A984" t="s">
        <v>369</v>
      </c>
      <c r="B984" s="19" t="s">
        <v>370</v>
      </c>
      <c r="C984" s="21" t="s">
        <v>171</v>
      </c>
      <c r="D984" s="24">
        <v>5</v>
      </c>
      <c r="E984" t="s">
        <v>352</v>
      </c>
      <c r="F984">
        <v>0.13</v>
      </c>
      <c r="G984">
        <v>12.36</v>
      </c>
      <c r="H984">
        <v>2.7</v>
      </c>
      <c r="I984">
        <v>23.11</v>
      </c>
      <c r="J984">
        <v>0.02</v>
      </c>
      <c r="K984">
        <v>2.77</v>
      </c>
      <c r="L984">
        <v>0.28000000000000003</v>
      </c>
      <c r="M984">
        <v>0.92</v>
      </c>
      <c r="N984">
        <v>0.41</v>
      </c>
      <c r="O984">
        <v>13.96</v>
      </c>
      <c r="P984" s="3">
        <v>67.043811714335106</v>
      </c>
      <c r="Q984" s="3">
        <v>15.025145775771151</v>
      </c>
    </row>
    <row r="985" spans="1:17" x14ac:dyDescent="0.3">
      <c r="A985" t="s">
        <v>371</v>
      </c>
      <c r="B985" s="19" t="s">
        <v>243</v>
      </c>
      <c r="C985" s="21" t="s">
        <v>171</v>
      </c>
      <c r="D985" s="24">
        <v>5</v>
      </c>
      <c r="E985" t="s">
        <v>352</v>
      </c>
      <c r="F985">
        <v>0.23</v>
      </c>
      <c r="G985">
        <v>9.1660000000000004</v>
      </c>
      <c r="H985">
        <v>4.01</v>
      </c>
      <c r="I985">
        <v>23.18</v>
      </c>
      <c r="J985">
        <v>1.1000000000000001E-2</v>
      </c>
      <c r="K985">
        <v>4.4000000000000004</v>
      </c>
      <c r="L985">
        <v>0.25</v>
      </c>
      <c r="M985">
        <v>0.46500000000000002</v>
      </c>
      <c r="N985">
        <v>0.42</v>
      </c>
      <c r="O985">
        <v>13.47</v>
      </c>
      <c r="P985" s="3">
        <v>60.990999466889797</v>
      </c>
      <c r="Q985" s="3">
        <v>5.6759088496438768</v>
      </c>
    </row>
    <row r="986" spans="1:17" x14ac:dyDescent="0.3">
      <c r="A986" t="s">
        <v>372</v>
      </c>
      <c r="B986" s="19" t="s">
        <v>243</v>
      </c>
      <c r="C986" s="21" t="s">
        <v>171</v>
      </c>
      <c r="D986" s="24">
        <v>5</v>
      </c>
      <c r="E986" t="s">
        <v>352</v>
      </c>
      <c r="F986">
        <v>0.25</v>
      </c>
      <c r="G986">
        <v>8.8710000000000004</v>
      </c>
      <c r="H986">
        <v>4.2699999999999996</v>
      </c>
      <c r="I986">
        <v>23.02</v>
      </c>
      <c r="J986">
        <v>1.4999999999999999E-2</v>
      </c>
      <c r="K986">
        <v>4.6500000000000004</v>
      </c>
      <c r="L986">
        <v>0.26</v>
      </c>
      <c r="M986">
        <v>0.46400000000000002</v>
      </c>
      <c r="N986">
        <v>0.42199999999999999</v>
      </c>
      <c r="O986">
        <v>13.65</v>
      </c>
      <c r="P986" s="3">
        <v>59.891490474180252</v>
      </c>
      <c r="Q986" s="3">
        <v>5.3379001120171932</v>
      </c>
    </row>
    <row r="987" spans="1:17" x14ac:dyDescent="0.3">
      <c r="A987" t="s">
        <v>372</v>
      </c>
      <c r="B987" s="19" t="s">
        <v>177</v>
      </c>
      <c r="C987" s="21" t="s">
        <v>171</v>
      </c>
      <c r="D987" s="24">
        <v>5</v>
      </c>
      <c r="E987" t="s">
        <v>352</v>
      </c>
      <c r="F987">
        <v>0.16700000000000001</v>
      </c>
      <c r="G987">
        <v>9.3350000000000009</v>
      </c>
      <c r="H987">
        <v>4.3899999999999997</v>
      </c>
      <c r="I987">
        <v>23.61</v>
      </c>
      <c r="J987">
        <v>1.6E-2</v>
      </c>
      <c r="K987">
        <v>4.6100000000000003</v>
      </c>
      <c r="L987">
        <v>0.22</v>
      </c>
      <c r="M987">
        <v>0.48699999999999999</v>
      </c>
      <c r="N987">
        <v>0.39</v>
      </c>
      <c r="O987">
        <v>13</v>
      </c>
      <c r="P987" s="3">
        <v>62.262836035686242</v>
      </c>
      <c r="Q987" s="3">
        <v>5.443284360636369</v>
      </c>
    </row>
    <row r="988" spans="1:17" x14ac:dyDescent="0.3">
      <c r="A988" t="s">
        <v>373</v>
      </c>
      <c r="B988" s="19" t="s">
        <v>243</v>
      </c>
      <c r="C988" s="21" t="s">
        <v>171</v>
      </c>
      <c r="D988" s="24">
        <v>5</v>
      </c>
      <c r="E988" t="s">
        <v>352</v>
      </c>
      <c r="F988">
        <v>0.22</v>
      </c>
      <c r="G988">
        <v>8.9009999999999998</v>
      </c>
      <c r="H988">
        <v>4</v>
      </c>
      <c r="I988">
        <v>23.82</v>
      </c>
      <c r="J988">
        <v>1.2E-2</v>
      </c>
      <c r="K988">
        <v>4.32</v>
      </c>
      <c r="L988">
        <v>0.24</v>
      </c>
      <c r="M988">
        <v>0.46300000000000002</v>
      </c>
      <c r="N988">
        <v>0.40700000000000003</v>
      </c>
      <c r="O988">
        <v>13.11</v>
      </c>
      <c r="P988" s="3">
        <v>60.937509912700563</v>
      </c>
      <c r="Q988" s="3">
        <v>5.6662077791034813</v>
      </c>
    </row>
    <row r="989" spans="1:17" x14ac:dyDescent="0.3">
      <c r="A989" t="s">
        <v>373</v>
      </c>
      <c r="B989" s="19" t="s">
        <v>177</v>
      </c>
      <c r="C989" s="21" t="s">
        <v>171</v>
      </c>
      <c r="D989" s="24">
        <v>5</v>
      </c>
      <c r="E989" t="s">
        <v>352</v>
      </c>
      <c r="F989">
        <v>0.19</v>
      </c>
      <c r="G989">
        <v>9.359</v>
      </c>
      <c r="H989">
        <v>4.07</v>
      </c>
      <c r="I989">
        <v>23.35</v>
      </c>
      <c r="J989">
        <v>1.9400000000000001E-2</v>
      </c>
      <c r="K989">
        <v>4.5599999999999996</v>
      </c>
      <c r="L989">
        <v>0.26</v>
      </c>
      <c r="M989">
        <v>0.52</v>
      </c>
      <c r="N989">
        <v>0.41</v>
      </c>
      <c r="O989">
        <v>13.55</v>
      </c>
      <c r="P989" s="3">
        <v>61.34529095401151</v>
      </c>
      <c r="Q989" s="3">
        <v>6.2177571042722146</v>
      </c>
    </row>
    <row r="990" spans="1:17" x14ac:dyDescent="0.3">
      <c r="A990" t="s">
        <v>374</v>
      </c>
      <c r="B990" s="19" t="s">
        <v>243</v>
      </c>
      <c r="C990" s="21" t="s">
        <v>171</v>
      </c>
      <c r="D990" s="24">
        <v>5</v>
      </c>
      <c r="E990" t="s">
        <v>352</v>
      </c>
      <c r="F990">
        <v>0.27</v>
      </c>
      <c r="G990">
        <v>7.8390000000000004</v>
      </c>
      <c r="H990">
        <v>4.4800000000000004</v>
      </c>
      <c r="I990">
        <v>23.12</v>
      </c>
      <c r="J990">
        <v>1.4999999999999999E-2</v>
      </c>
      <c r="K990">
        <v>5.13</v>
      </c>
      <c r="L990">
        <v>0.3</v>
      </c>
      <c r="M990">
        <v>0.39500000000000002</v>
      </c>
      <c r="N990">
        <v>0.41499999999999998</v>
      </c>
      <c r="O990">
        <v>14.03</v>
      </c>
      <c r="P990" s="3">
        <v>56.213005153825598</v>
      </c>
      <c r="Q990" s="3">
        <v>4.3751606373350533</v>
      </c>
    </row>
    <row r="991" spans="1:17" x14ac:dyDescent="0.3">
      <c r="A991" t="s">
        <v>375</v>
      </c>
      <c r="B991" s="19" t="s">
        <v>207</v>
      </c>
      <c r="C991" s="21" t="s">
        <v>171</v>
      </c>
      <c r="D991" s="24">
        <v>5</v>
      </c>
      <c r="E991" t="s">
        <v>352</v>
      </c>
      <c r="F991">
        <v>0.26</v>
      </c>
      <c r="G991">
        <v>7.1029999999999998</v>
      </c>
      <c r="H991">
        <v>4.9000000000000004</v>
      </c>
      <c r="I991">
        <v>22.8</v>
      </c>
      <c r="J991">
        <v>2.2800000000000001E-2</v>
      </c>
      <c r="K991">
        <v>5.29</v>
      </c>
      <c r="L991">
        <v>0.32300000000000001</v>
      </c>
      <c r="M991">
        <v>0.39100000000000001</v>
      </c>
      <c r="N991">
        <v>0.89800000000000002</v>
      </c>
      <c r="O991">
        <v>13.7</v>
      </c>
      <c r="P991" s="3">
        <v>54.364347614352219</v>
      </c>
      <c r="Q991" s="3">
        <v>3.9761608586656956</v>
      </c>
    </row>
    <row r="992" spans="1:17" x14ac:dyDescent="0.3">
      <c r="A992" t="s">
        <v>376</v>
      </c>
      <c r="B992" s="19" t="s">
        <v>177</v>
      </c>
      <c r="C992" s="21" t="s">
        <v>171</v>
      </c>
      <c r="D992" s="24">
        <v>5</v>
      </c>
      <c r="E992" t="s">
        <v>352</v>
      </c>
      <c r="F992">
        <v>0.127</v>
      </c>
      <c r="G992">
        <v>10.93</v>
      </c>
      <c r="H992">
        <v>2.8</v>
      </c>
      <c r="I992">
        <v>23.35</v>
      </c>
      <c r="J992">
        <v>3.2300000000000002E-2</v>
      </c>
      <c r="K992">
        <v>5.0599999999999996</v>
      </c>
      <c r="L992">
        <v>0.16</v>
      </c>
      <c r="M992">
        <v>0.54</v>
      </c>
      <c r="N992">
        <v>0.38</v>
      </c>
      <c r="O992">
        <v>12.86</v>
      </c>
      <c r="P992" s="3">
        <v>66.134359768747572</v>
      </c>
      <c r="Q992" s="3">
        <v>9.0973799300045943</v>
      </c>
    </row>
    <row r="993" spans="1:17" x14ac:dyDescent="0.3">
      <c r="A993" t="s">
        <v>377</v>
      </c>
      <c r="B993" s="19" t="s">
        <v>177</v>
      </c>
      <c r="C993" s="21" t="s">
        <v>171</v>
      </c>
      <c r="D993" s="24">
        <v>5</v>
      </c>
      <c r="E993" t="s">
        <v>352</v>
      </c>
      <c r="F993">
        <v>0.192</v>
      </c>
      <c r="G993">
        <v>8.3930000000000007</v>
      </c>
      <c r="H993">
        <v>4.59</v>
      </c>
      <c r="I993">
        <v>23.36</v>
      </c>
      <c r="J993">
        <v>2.5100000000000001E-2</v>
      </c>
      <c r="K993">
        <v>5.1100000000000003</v>
      </c>
      <c r="L993">
        <v>0.27</v>
      </c>
      <c r="M993">
        <v>0.45</v>
      </c>
      <c r="N993">
        <v>0.41</v>
      </c>
      <c r="O993">
        <v>13.87</v>
      </c>
      <c r="P993" s="3">
        <v>58.16541869685409</v>
      </c>
      <c r="Q993" s="3">
        <v>4.8411996098619667</v>
      </c>
    </row>
    <row r="994" spans="1:17" x14ac:dyDescent="0.3">
      <c r="A994" t="s">
        <v>377</v>
      </c>
      <c r="B994" s="19" t="s">
        <v>177</v>
      </c>
      <c r="C994" s="21" t="s">
        <v>171</v>
      </c>
      <c r="D994" s="24">
        <v>5</v>
      </c>
      <c r="E994" t="s">
        <v>352</v>
      </c>
      <c r="F994">
        <v>0.161</v>
      </c>
      <c r="G994">
        <v>8.4890000000000008</v>
      </c>
      <c r="H994">
        <v>5.13</v>
      </c>
      <c r="I994">
        <v>22.81</v>
      </c>
      <c r="J994">
        <v>2.01E-2</v>
      </c>
      <c r="K994">
        <v>5.33</v>
      </c>
      <c r="L994">
        <v>0.15</v>
      </c>
      <c r="M994">
        <v>0.71</v>
      </c>
      <c r="N994">
        <v>0.4</v>
      </c>
      <c r="O994">
        <v>13.35</v>
      </c>
      <c r="P994" s="3">
        <v>59.366873508539726</v>
      </c>
      <c r="Q994" s="3">
        <v>6.7007489068604151</v>
      </c>
    </row>
    <row r="995" spans="1:17" x14ac:dyDescent="0.3">
      <c r="A995" t="s">
        <v>378</v>
      </c>
      <c r="B995" s="19" t="s">
        <v>177</v>
      </c>
      <c r="C995" s="21" t="s">
        <v>171</v>
      </c>
      <c r="D995" s="24">
        <v>5</v>
      </c>
      <c r="E995" t="s">
        <v>352</v>
      </c>
      <c r="F995">
        <v>0.23</v>
      </c>
      <c r="G995">
        <v>8.1590000000000007</v>
      </c>
      <c r="H995">
        <v>4.76</v>
      </c>
      <c r="I995">
        <v>23.57</v>
      </c>
      <c r="J995">
        <v>4.3099999999999999E-2</v>
      </c>
      <c r="K995">
        <v>5.08</v>
      </c>
      <c r="L995">
        <v>0.22</v>
      </c>
      <c r="M995">
        <v>0.41199999999999998</v>
      </c>
      <c r="N995">
        <v>0.38</v>
      </c>
      <c r="O995">
        <v>13.57</v>
      </c>
      <c r="P995" s="3">
        <v>58.009369830187211</v>
      </c>
      <c r="Q995" s="3">
        <v>4.2984647630866064</v>
      </c>
    </row>
    <row r="996" spans="1:17" x14ac:dyDescent="0.3">
      <c r="A996" t="s">
        <v>379</v>
      </c>
      <c r="B996" s="19" t="s">
        <v>380</v>
      </c>
      <c r="C996" s="21" t="s">
        <v>171</v>
      </c>
      <c r="D996" s="24">
        <v>5</v>
      </c>
      <c r="E996" t="s">
        <v>352</v>
      </c>
      <c r="F996">
        <v>0.36</v>
      </c>
      <c r="G996">
        <v>3.91</v>
      </c>
      <c r="H996">
        <v>7.6920000000000002</v>
      </c>
      <c r="I996">
        <v>23.5</v>
      </c>
      <c r="J996">
        <v>0.02</v>
      </c>
      <c r="K996">
        <v>7.82</v>
      </c>
      <c r="L996">
        <v>0.22</v>
      </c>
      <c r="M996">
        <v>7.4999999999999997E-2</v>
      </c>
      <c r="N996">
        <v>0.41</v>
      </c>
      <c r="O996">
        <v>12.78</v>
      </c>
      <c r="P996" s="3">
        <v>41.278935731646207</v>
      </c>
      <c r="Q996" s="3">
        <v>0.5034244730521592</v>
      </c>
    </row>
    <row r="997" spans="1:17" x14ac:dyDescent="0.3">
      <c r="A997" t="s">
        <v>379</v>
      </c>
      <c r="B997" s="19" t="s">
        <v>380</v>
      </c>
      <c r="C997" s="21" t="s">
        <v>171</v>
      </c>
      <c r="D997" s="24">
        <v>5</v>
      </c>
      <c r="E997" t="s">
        <v>352</v>
      </c>
      <c r="F997">
        <v>0.39</v>
      </c>
      <c r="G997">
        <v>5.36</v>
      </c>
      <c r="H997">
        <v>6.3209999999999997</v>
      </c>
      <c r="I997">
        <v>22.98</v>
      </c>
      <c r="J997">
        <v>0.03</v>
      </c>
      <c r="K997">
        <v>7.04</v>
      </c>
      <c r="L997">
        <v>0.19</v>
      </c>
      <c r="M997">
        <v>0.21</v>
      </c>
      <c r="N997">
        <v>0.48</v>
      </c>
      <c r="O997">
        <v>14.46</v>
      </c>
      <c r="P997" s="3">
        <v>45.99548695064918</v>
      </c>
      <c r="Q997" s="3">
        <v>1.6947836691746099</v>
      </c>
    </row>
    <row r="998" spans="1:17" x14ac:dyDescent="0.3">
      <c r="A998" t="s">
        <v>379</v>
      </c>
      <c r="B998" s="19" t="s">
        <v>381</v>
      </c>
      <c r="C998" s="21" t="s">
        <v>171</v>
      </c>
      <c r="D998" s="24">
        <v>5</v>
      </c>
      <c r="E998" t="s">
        <v>352</v>
      </c>
      <c r="F998">
        <v>0.34</v>
      </c>
      <c r="G998">
        <v>7.23</v>
      </c>
      <c r="H998">
        <v>5</v>
      </c>
      <c r="I998">
        <v>22.63</v>
      </c>
      <c r="J998">
        <v>0.04</v>
      </c>
      <c r="K998">
        <v>5.73</v>
      </c>
      <c r="L998">
        <v>0.22</v>
      </c>
      <c r="M998">
        <v>0.43</v>
      </c>
      <c r="N998">
        <v>0.4</v>
      </c>
      <c r="O998">
        <v>14.36</v>
      </c>
      <c r="P998" s="3">
        <v>53.635830641696174</v>
      </c>
      <c r="Q998" s="3">
        <v>4.2720978903408486</v>
      </c>
    </row>
    <row r="999" spans="1:17" x14ac:dyDescent="0.3">
      <c r="A999" t="s">
        <v>379</v>
      </c>
      <c r="B999" s="19" t="s">
        <v>382</v>
      </c>
      <c r="C999" s="21" t="s">
        <v>171</v>
      </c>
      <c r="D999" s="24">
        <v>5</v>
      </c>
      <c r="E999" t="s">
        <v>352</v>
      </c>
      <c r="F999">
        <v>0.20499999999999999</v>
      </c>
      <c r="G999">
        <v>9.5</v>
      </c>
      <c r="H999">
        <v>4.4000000000000004</v>
      </c>
      <c r="I999">
        <v>23.5</v>
      </c>
      <c r="J999">
        <v>1.7999999999999999E-2</v>
      </c>
      <c r="K999">
        <v>3.72</v>
      </c>
      <c r="L999">
        <v>0.18</v>
      </c>
      <c r="M999">
        <v>0.47499999999999998</v>
      </c>
      <c r="N999">
        <v>0.38300000000000001</v>
      </c>
      <c r="O999">
        <v>13.6</v>
      </c>
      <c r="P999" s="3">
        <v>61.612193123599504</v>
      </c>
      <c r="Q999" s="3">
        <v>5.3048472705892413</v>
      </c>
    </row>
    <row r="1000" spans="1:17" x14ac:dyDescent="0.3">
      <c r="A1000" t="s">
        <v>379</v>
      </c>
      <c r="B1000" s="19" t="s">
        <v>225</v>
      </c>
      <c r="C1000" s="21" t="s">
        <v>171</v>
      </c>
      <c r="D1000" s="24">
        <v>5</v>
      </c>
      <c r="E1000" t="s">
        <v>352</v>
      </c>
      <c r="F1000">
        <v>0.22</v>
      </c>
      <c r="G1000">
        <v>9.5329999999999995</v>
      </c>
      <c r="H1000">
        <v>4.3</v>
      </c>
      <c r="I1000">
        <v>23.27</v>
      </c>
      <c r="J1000">
        <v>8.9999999999999993E-3</v>
      </c>
      <c r="K1000">
        <v>4.62</v>
      </c>
      <c r="L1000">
        <v>0.23</v>
      </c>
      <c r="M1000">
        <v>0.5323</v>
      </c>
      <c r="N1000">
        <v>0.39889999999999998</v>
      </c>
      <c r="O1000">
        <v>13.45</v>
      </c>
      <c r="P1000" s="3">
        <v>61.955933811391539</v>
      </c>
      <c r="Q1000" s="3">
        <v>6.0360584879353034</v>
      </c>
    </row>
    <row r="1001" spans="1:17" x14ac:dyDescent="0.3">
      <c r="A1001" t="s">
        <v>379</v>
      </c>
      <c r="B1001" s="19" t="s">
        <v>380</v>
      </c>
      <c r="C1001" s="21" t="s">
        <v>171</v>
      </c>
      <c r="D1001" s="24">
        <v>5</v>
      </c>
      <c r="E1001" t="s">
        <v>352</v>
      </c>
      <c r="F1001">
        <v>0.35</v>
      </c>
      <c r="G1001">
        <v>6.09</v>
      </c>
      <c r="H1001">
        <v>5.23</v>
      </c>
      <c r="I1001">
        <v>23.13</v>
      </c>
      <c r="J1001">
        <v>0.03</v>
      </c>
      <c r="K1001">
        <v>6.68</v>
      </c>
      <c r="L1001">
        <v>0.47</v>
      </c>
      <c r="M1001">
        <v>0.62</v>
      </c>
      <c r="N1001">
        <v>0.42</v>
      </c>
      <c r="O1001">
        <v>14.59</v>
      </c>
      <c r="P1001" s="3">
        <v>48.955392640915726</v>
      </c>
      <c r="Q1001" s="3">
        <v>5.7951850001205525</v>
      </c>
    </row>
    <row r="1002" spans="1:17" x14ac:dyDescent="0.3">
      <c r="A1002" t="s">
        <v>383</v>
      </c>
      <c r="B1002" s="19" t="s">
        <v>243</v>
      </c>
      <c r="C1002" s="21" t="s">
        <v>171</v>
      </c>
      <c r="D1002" s="24">
        <v>5</v>
      </c>
      <c r="E1002" t="s">
        <v>352</v>
      </c>
      <c r="F1002">
        <v>0.36</v>
      </c>
      <c r="G1002">
        <v>5.34</v>
      </c>
      <c r="H1002">
        <v>5.8849999999999998</v>
      </c>
      <c r="I1002">
        <v>22.36</v>
      </c>
      <c r="J1002">
        <v>3.9E-2</v>
      </c>
      <c r="K1002">
        <v>6.36</v>
      </c>
      <c r="L1002">
        <v>0.42</v>
      </c>
      <c r="M1002">
        <v>0.26100000000000001</v>
      </c>
      <c r="N1002">
        <v>0.41</v>
      </c>
      <c r="O1002">
        <v>14.07</v>
      </c>
      <c r="P1002" s="3">
        <v>46.58230493702861</v>
      </c>
      <c r="Q1002" s="3">
        <v>2.2496581429746394</v>
      </c>
    </row>
    <row r="1003" spans="1:17" x14ac:dyDescent="0.3">
      <c r="A1003" t="s">
        <v>383</v>
      </c>
      <c r="B1003" s="19" t="s">
        <v>243</v>
      </c>
      <c r="C1003" s="21" t="s">
        <v>171</v>
      </c>
      <c r="D1003" s="24">
        <v>5</v>
      </c>
      <c r="E1003" t="s">
        <v>352</v>
      </c>
      <c r="F1003">
        <v>0.35</v>
      </c>
      <c r="G1003">
        <v>5.84</v>
      </c>
      <c r="H1003">
        <v>5.6470000000000002</v>
      </c>
      <c r="I1003">
        <v>22.63</v>
      </c>
      <c r="J1003">
        <v>3.6999999999999998E-2</v>
      </c>
      <c r="K1003">
        <v>6.17</v>
      </c>
      <c r="L1003">
        <v>0.4</v>
      </c>
      <c r="M1003">
        <v>0.27600000000000002</v>
      </c>
      <c r="N1003">
        <v>0.41599999999999998</v>
      </c>
      <c r="O1003">
        <v>14.11</v>
      </c>
      <c r="P1003" s="3">
        <v>48.743887767404225</v>
      </c>
      <c r="Q1003" s="3">
        <v>2.4735345561489663</v>
      </c>
    </row>
    <row r="1004" spans="1:17" x14ac:dyDescent="0.3">
      <c r="A1004" t="s">
        <v>384</v>
      </c>
      <c r="B1004" s="19" t="s">
        <v>222</v>
      </c>
      <c r="C1004" s="21" t="s">
        <v>171</v>
      </c>
      <c r="D1004" s="24">
        <v>5</v>
      </c>
      <c r="E1004" t="s">
        <v>352</v>
      </c>
      <c r="F1004">
        <v>0.16</v>
      </c>
      <c r="G1004">
        <v>8.4</v>
      </c>
      <c r="H1004">
        <v>6.0090000000000003</v>
      </c>
      <c r="I1004">
        <v>22.51</v>
      </c>
      <c r="J1004">
        <v>0.2</v>
      </c>
      <c r="K1004">
        <v>5.63</v>
      </c>
      <c r="L1004">
        <v>0.11</v>
      </c>
      <c r="M1004">
        <v>0.36</v>
      </c>
      <c r="N1004">
        <v>0.17</v>
      </c>
      <c r="O1004">
        <v>13.16</v>
      </c>
      <c r="P1004" s="3">
        <v>59.458385163707092</v>
      </c>
      <c r="Q1004" s="3">
        <v>3.0151464679305722</v>
      </c>
    </row>
    <row r="1005" spans="1:17" x14ac:dyDescent="0.3">
      <c r="A1005" t="s">
        <v>384</v>
      </c>
      <c r="B1005" s="19" t="s">
        <v>221</v>
      </c>
      <c r="C1005" s="21" t="s">
        <v>171</v>
      </c>
      <c r="D1005" s="24">
        <v>5</v>
      </c>
      <c r="E1005" t="s">
        <v>352</v>
      </c>
      <c r="F1005">
        <v>0.18</v>
      </c>
      <c r="G1005">
        <v>9.41</v>
      </c>
      <c r="H1005">
        <v>4.1500000000000004</v>
      </c>
      <c r="I1005">
        <v>23.67</v>
      </c>
      <c r="J1005">
        <v>1.9E-2</v>
      </c>
      <c r="K1005">
        <v>4.42</v>
      </c>
      <c r="L1005">
        <v>0.21</v>
      </c>
      <c r="M1005">
        <v>0.59499999999999997</v>
      </c>
      <c r="N1005">
        <v>0.42</v>
      </c>
      <c r="O1005">
        <v>13.8</v>
      </c>
      <c r="P1005" s="3">
        <v>61.040198780256418</v>
      </c>
      <c r="Q1005" s="3">
        <v>6.9247972579436921</v>
      </c>
    </row>
    <row r="1006" spans="1:17" x14ac:dyDescent="0.3">
      <c r="A1006" t="s">
        <v>385</v>
      </c>
      <c r="B1006" s="19" t="s">
        <v>243</v>
      </c>
      <c r="C1006" s="21" t="s">
        <v>171</v>
      </c>
      <c r="D1006" s="24">
        <v>5</v>
      </c>
      <c r="E1006" t="s">
        <v>352</v>
      </c>
      <c r="F1006">
        <v>0.31</v>
      </c>
      <c r="G1006">
        <v>7.1879999999999997</v>
      </c>
      <c r="H1006">
        <v>4.88</v>
      </c>
      <c r="I1006">
        <v>21.96</v>
      </c>
      <c r="J1006">
        <v>2.2000000000000002E-2</v>
      </c>
      <c r="K1006">
        <v>5.28</v>
      </c>
      <c r="L1006">
        <v>0.28000000000000003</v>
      </c>
      <c r="M1006">
        <v>0.32900000000000001</v>
      </c>
      <c r="N1006">
        <v>0.40700000000000003</v>
      </c>
      <c r="O1006">
        <v>14.42</v>
      </c>
      <c r="P1006" s="3">
        <v>53.387172806050486</v>
      </c>
      <c r="Q1006" s="3">
        <v>3.3802301977082583</v>
      </c>
    </row>
    <row r="1007" spans="1:17" x14ac:dyDescent="0.3">
      <c r="A1007" t="s">
        <v>385</v>
      </c>
      <c r="B1007" s="19" t="s">
        <v>177</v>
      </c>
      <c r="C1007" s="21" t="s">
        <v>171</v>
      </c>
      <c r="D1007" s="24">
        <v>5</v>
      </c>
      <c r="E1007" t="s">
        <v>352</v>
      </c>
      <c r="F1007">
        <v>0.22</v>
      </c>
      <c r="G1007">
        <v>8.9830000000000005</v>
      </c>
      <c r="H1007">
        <v>4.3499999999999996</v>
      </c>
      <c r="I1007">
        <v>23.36</v>
      </c>
      <c r="J1007">
        <v>2.07E-2</v>
      </c>
      <c r="K1007">
        <v>4.74</v>
      </c>
      <c r="L1007">
        <v>0.25</v>
      </c>
      <c r="M1007">
        <v>0.40199999999999997</v>
      </c>
      <c r="N1007">
        <v>0.38</v>
      </c>
      <c r="O1007">
        <v>14.01</v>
      </c>
      <c r="P1007" s="3">
        <v>59.567120451646808</v>
      </c>
      <c r="Q1007" s="3">
        <v>4.5761266945811823</v>
      </c>
    </row>
    <row r="1008" spans="1:17" x14ac:dyDescent="0.3">
      <c r="A1008" t="s">
        <v>385</v>
      </c>
      <c r="B1008" s="19" t="s">
        <v>177</v>
      </c>
      <c r="C1008" s="21" t="s">
        <v>171</v>
      </c>
      <c r="D1008" s="24">
        <v>5</v>
      </c>
      <c r="E1008" t="s">
        <v>352</v>
      </c>
      <c r="F1008">
        <v>0.22</v>
      </c>
      <c r="G1008">
        <v>8.843</v>
      </c>
      <c r="H1008">
        <v>4.1900000000000004</v>
      </c>
      <c r="I1008">
        <v>23.36</v>
      </c>
      <c r="J1008">
        <v>2.1899999999999999E-2</v>
      </c>
      <c r="K1008">
        <v>4.6900000000000004</v>
      </c>
      <c r="L1008">
        <v>0.18</v>
      </c>
      <c r="M1008">
        <v>0.41</v>
      </c>
      <c r="N1008">
        <v>0.37</v>
      </c>
      <c r="O1008">
        <v>14.01</v>
      </c>
      <c r="P1008" s="3">
        <v>59.188243198329666</v>
      </c>
      <c r="Q1008" s="3">
        <v>4.8324029447787149</v>
      </c>
    </row>
    <row r="1009" spans="1:17" x14ac:dyDescent="0.3">
      <c r="A1009" t="s">
        <v>386</v>
      </c>
      <c r="B1009" s="19" t="s">
        <v>177</v>
      </c>
      <c r="C1009" s="21" t="s">
        <v>171</v>
      </c>
      <c r="D1009" s="24">
        <v>5</v>
      </c>
      <c r="E1009" t="s">
        <v>352</v>
      </c>
      <c r="F1009">
        <v>7.6999999999999999E-2</v>
      </c>
      <c r="G1009">
        <v>12.3</v>
      </c>
      <c r="H1009">
        <v>2.82</v>
      </c>
      <c r="I1009">
        <v>23.87</v>
      </c>
      <c r="J1009">
        <v>4.1000000000000003E-3</v>
      </c>
      <c r="K1009">
        <v>3.12</v>
      </c>
      <c r="L1009">
        <v>0.2</v>
      </c>
      <c r="M1009">
        <v>0.437</v>
      </c>
      <c r="N1009">
        <v>0.42</v>
      </c>
      <c r="O1009">
        <v>13.11</v>
      </c>
      <c r="P1009" s="3">
        <v>68.311447655994655</v>
      </c>
      <c r="Q1009" s="3">
        <v>7.4429648192959439</v>
      </c>
    </row>
    <row r="1010" spans="1:17" x14ac:dyDescent="0.3">
      <c r="A1010" t="s">
        <v>387</v>
      </c>
      <c r="B1010" s="19" t="s">
        <v>177</v>
      </c>
      <c r="C1010" s="21" t="s">
        <v>171</v>
      </c>
      <c r="D1010" s="24">
        <v>5</v>
      </c>
      <c r="E1010" t="s">
        <v>352</v>
      </c>
      <c r="F1010">
        <v>0.28000000000000003</v>
      </c>
      <c r="G1010">
        <v>5.56</v>
      </c>
      <c r="H1010">
        <v>6.0069999999999997</v>
      </c>
      <c r="I1010">
        <v>22.81</v>
      </c>
      <c r="J1010">
        <v>2.3900000000000001E-2</v>
      </c>
      <c r="K1010">
        <v>6.47</v>
      </c>
      <c r="L1010">
        <v>0.35</v>
      </c>
      <c r="M1010">
        <v>0.27200000000000002</v>
      </c>
      <c r="N1010">
        <v>0.39</v>
      </c>
      <c r="O1010">
        <v>14.49</v>
      </c>
      <c r="P1010" s="3">
        <v>46.855088593979289</v>
      </c>
      <c r="Q1010" s="3">
        <v>2.2957724014442538</v>
      </c>
    </row>
    <row r="1011" spans="1:17" x14ac:dyDescent="0.3">
      <c r="A1011" t="s">
        <v>388</v>
      </c>
      <c r="B1011" s="19" t="s">
        <v>389</v>
      </c>
      <c r="C1011" s="21" t="s">
        <v>171</v>
      </c>
      <c r="D1011" s="24">
        <v>5</v>
      </c>
      <c r="E1011" t="s">
        <v>352</v>
      </c>
      <c r="F1011">
        <v>0.22500000000000001</v>
      </c>
      <c r="G1011">
        <v>9.3000000000000007</v>
      </c>
      <c r="H1011">
        <v>4.22</v>
      </c>
      <c r="I1011">
        <v>23.8</v>
      </c>
      <c r="J1011">
        <v>3.1699999999999999E-2</v>
      </c>
      <c r="K1011">
        <v>4.75</v>
      </c>
      <c r="L1011">
        <v>0.28499999999999998</v>
      </c>
      <c r="M1011">
        <v>0.50049999999999994</v>
      </c>
      <c r="N1011">
        <v>0.42499999999999999</v>
      </c>
      <c r="O1011">
        <v>14.3</v>
      </c>
      <c r="P1011" s="3">
        <v>59.90846906288931</v>
      </c>
      <c r="Q1011" s="3">
        <v>5.7977201337457567</v>
      </c>
    </row>
    <row r="1012" spans="1:17" x14ac:dyDescent="0.3">
      <c r="A1012" t="s">
        <v>390</v>
      </c>
      <c r="B1012" s="19" t="s">
        <v>177</v>
      </c>
      <c r="C1012" s="21" t="s">
        <v>171</v>
      </c>
      <c r="D1012" s="24">
        <v>5</v>
      </c>
      <c r="E1012" t="s">
        <v>352</v>
      </c>
      <c r="F1012">
        <v>0.31</v>
      </c>
      <c r="G1012">
        <v>5.6</v>
      </c>
      <c r="H1012">
        <v>6.0890000000000004</v>
      </c>
      <c r="I1012">
        <v>23</v>
      </c>
      <c r="J1012">
        <v>2.29E-2</v>
      </c>
      <c r="K1012">
        <v>6.53</v>
      </c>
      <c r="L1012">
        <v>0.36</v>
      </c>
      <c r="M1012">
        <v>0.28599999999999998</v>
      </c>
      <c r="N1012">
        <v>0.41</v>
      </c>
      <c r="O1012">
        <v>14.39</v>
      </c>
      <c r="P1012" s="3">
        <v>47.206187589243129</v>
      </c>
      <c r="Q1012" s="3">
        <v>2.379390786328841</v>
      </c>
    </row>
    <row r="1013" spans="1:17" x14ac:dyDescent="0.3">
      <c r="A1013" t="s">
        <v>391</v>
      </c>
      <c r="B1013" s="19" t="s">
        <v>392</v>
      </c>
      <c r="C1013" s="21" t="s">
        <v>171</v>
      </c>
      <c r="D1013" s="24">
        <v>5</v>
      </c>
      <c r="E1013" t="s">
        <v>352</v>
      </c>
      <c r="F1013">
        <v>0.34</v>
      </c>
      <c r="G1013">
        <v>5.31</v>
      </c>
      <c r="H1013">
        <v>6.4099999999999993</v>
      </c>
      <c r="I1013">
        <v>23.1</v>
      </c>
      <c r="J1013">
        <v>0.05</v>
      </c>
      <c r="K1013">
        <v>6.79</v>
      </c>
      <c r="L1013">
        <v>0.43</v>
      </c>
      <c r="M1013">
        <v>0.16</v>
      </c>
      <c r="N1013">
        <v>0.42</v>
      </c>
      <c r="O1013">
        <v>14.5</v>
      </c>
      <c r="P1013" s="3">
        <v>45.694218644939987</v>
      </c>
      <c r="Q1013" s="3">
        <v>1.2787242898256896</v>
      </c>
    </row>
    <row r="1014" spans="1:17" x14ac:dyDescent="0.3">
      <c r="A1014" t="s">
        <v>391</v>
      </c>
      <c r="B1014" s="19" t="s">
        <v>174</v>
      </c>
      <c r="C1014" s="21" t="s">
        <v>171</v>
      </c>
      <c r="D1014" s="24">
        <v>5</v>
      </c>
      <c r="E1014" t="s">
        <v>352</v>
      </c>
      <c r="F1014">
        <v>0.31</v>
      </c>
      <c r="G1014">
        <v>7.48</v>
      </c>
      <c r="H1014">
        <v>5.27</v>
      </c>
      <c r="I1014">
        <v>22.98</v>
      </c>
      <c r="J1014">
        <v>3.7900000000000003E-2</v>
      </c>
      <c r="K1014">
        <v>5.76</v>
      </c>
      <c r="L1014">
        <v>0.29299999999999998</v>
      </c>
      <c r="M1014">
        <v>0.38</v>
      </c>
      <c r="N1014">
        <v>0.41099999999999998</v>
      </c>
      <c r="O1014">
        <v>14.02</v>
      </c>
      <c r="P1014" s="3">
        <v>55.073623224022583</v>
      </c>
      <c r="Q1014" s="3">
        <v>3.606812177966968</v>
      </c>
    </row>
    <row r="1015" spans="1:17" x14ac:dyDescent="0.3">
      <c r="A1015" t="s">
        <v>391</v>
      </c>
      <c r="B1015" s="19" t="s">
        <v>225</v>
      </c>
      <c r="C1015" s="21" t="s">
        <v>171</v>
      </c>
      <c r="D1015" s="24">
        <v>5</v>
      </c>
      <c r="E1015" t="s">
        <v>352</v>
      </c>
      <c r="F1015">
        <v>0.23</v>
      </c>
      <c r="G1015">
        <v>6.6210000000000004</v>
      </c>
      <c r="H1015">
        <v>5.6159999999999997</v>
      </c>
      <c r="I1015">
        <v>22.74</v>
      </c>
      <c r="J1015">
        <v>3.5999999999999997E-2</v>
      </c>
      <c r="K1015">
        <v>6.05</v>
      </c>
      <c r="L1015">
        <v>0.315</v>
      </c>
      <c r="M1015">
        <v>0.38379999999999997</v>
      </c>
      <c r="N1015">
        <v>0.4027</v>
      </c>
      <c r="O1015">
        <v>14.71</v>
      </c>
      <c r="P1015" s="3">
        <v>50.840340533854459</v>
      </c>
      <c r="Q1015" s="3">
        <v>3.4248950126300826</v>
      </c>
    </row>
    <row r="1016" spans="1:17" x14ac:dyDescent="0.3">
      <c r="A1016" t="s">
        <v>391</v>
      </c>
      <c r="B1016" s="19" t="s">
        <v>221</v>
      </c>
      <c r="C1016" s="21" t="s">
        <v>171</v>
      </c>
      <c r="D1016" s="24">
        <v>5</v>
      </c>
      <c r="E1016" t="s">
        <v>352</v>
      </c>
      <c r="F1016">
        <v>0.27300000000000002</v>
      </c>
      <c r="G1016">
        <v>7.26</v>
      </c>
      <c r="H1016">
        <v>5.24</v>
      </c>
      <c r="I1016">
        <v>23</v>
      </c>
      <c r="J1016">
        <v>4.1000000000000002E-2</v>
      </c>
      <c r="K1016">
        <v>5.8</v>
      </c>
      <c r="L1016">
        <v>0.27</v>
      </c>
      <c r="M1016">
        <v>0.38550000000000001</v>
      </c>
      <c r="N1016">
        <v>0.40599999999999997</v>
      </c>
      <c r="O1016">
        <v>14.15</v>
      </c>
      <c r="P1016" s="3">
        <v>54.104818379704717</v>
      </c>
      <c r="Q1016" s="3">
        <v>3.6772745879868931</v>
      </c>
    </row>
    <row r="1017" spans="1:17" x14ac:dyDescent="0.3">
      <c r="A1017" t="s">
        <v>391</v>
      </c>
      <c r="B1017" s="19" t="s">
        <v>225</v>
      </c>
      <c r="C1017" s="21" t="s">
        <v>171</v>
      </c>
      <c r="D1017" s="24">
        <v>5</v>
      </c>
      <c r="E1017" t="s">
        <v>352</v>
      </c>
      <c r="F1017">
        <v>0.23</v>
      </c>
      <c r="G1017">
        <v>7.085</v>
      </c>
      <c r="H1017">
        <v>5.298</v>
      </c>
      <c r="I1017">
        <v>22.98</v>
      </c>
      <c r="J1017">
        <v>3.2000000000000001E-2</v>
      </c>
      <c r="K1017">
        <v>5.77</v>
      </c>
      <c r="L1017">
        <v>0.30099999999999999</v>
      </c>
      <c r="M1017">
        <v>0.39200000000000002</v>
      </c>
      <c r="N1017">
        <v>0.41360000000000002</v>
      </c>
      <c r="O1017">
        <v>14.31</v>
      </c>
      <c r="P1017" s="3">
        <v>53.218523164547953</v>
      </c>
      <c r="Q1017" s="3">
        <v>3.6975630899124852</v>
      </c>
    </row>
    <row r="1018" spans="1:17" x14ac:dyDescent="0.3">
      <c r="A1018" t="s">
        <v>393</v>
      </c>
      <c r="B1018" s="19" t="s">
        <v>177</v>
      </c>
      <c r="C1018" s="21" t="s">
        <v>171</v>
      </c>
      <c r="D1018" s="24">
        <v>5</v>
      </c>
      <c r="E1018" t="s">
        <v>352</v>
      </c>
      <c r="F1018">
        <v>0.186</v>
      </c>
      <c r="G1018">
        <v>10.54</v>
      </c>
      <c r="H1018">
        <v>3.36</v>
      </c>
      <c r="I1018">
        <v>23.92</v>
      </c>
      <c r="J1018">
        <v>1.9300000000000001E-2</v>
      </c>
      <c r="K1018">
        <v>3.99</v>
      </c>
      <c r="L1018">
        <v>0.25</v>
      </c>
      <c r="M1018">
        <v>0.47299999999999998</v>
      </c>
      <c r="N1018">
        <v>0.42</v>
      </c>
      <c r="O1018">
        <v>13.48</v>
      </c>
      <c r="P1018" s="3">
        <v>64.24165912404608</v>
      </c>
      <c r="Q1018" s="3">
        <v>6.8077830832936543</v>
      </c>
    </row>
    <row r="1019" spans="1:17" x14ac:dyDescent="0.3">
      <c r="A1019" t="s">
        <v>394</v>
      </c>
      <c r="B1019" s="19" t="s">
        <v>177</v>
      </c>
      <c r="C1019" s="21" t="s">
        <v>171</v>
      </c>
      <c r="D1019" s="24">
        <v>5</v>
      </c>
      <c r="E1019" t="s">
        <v>352</v>
      </c>
      <c r="F1019">
        <v>0.11899999999999999</v>
      </c>
      <c r="G1019">
        <v>9.1240000000000006</v>
      </c>
      <c r="H1019">
        <v>4.24</v>
      </c>
      <c r="I1019">
        <v>23.3</v>
      </c>
      <c r="J1019">
        <v>3.8300000000000001E-2</v>
      </c>
      <c r="K1019">
        <v>3.86</v>
      </c>
      <c r="L1019">
        <v>0.3</v>
      </c>
      <c r="M1019">
        <v>0.75</v>
      </c>
      <c r="N1019">
        <v>0.44</v>
      </c>
      <c r="O1019">
        <v>14.61</v>
      </c>
      <c r="P1019" s="3">
        <v>58.930668310013374</v>
      </c>
      <c r="Q1019" s="3">
        <v>8.4073696194018464</v>
      </c>
    </row>
    <row r="1020" spans="1:17" x14ac:dyDescent="0.3">
      <c r="A1020" t="s">
        <v>395</v>
      </c>
      <c r="B1020" s="19" t="s">
        <v>243</v>
      </c>
      <c r="C1020" s="21" t="s">
        <v>171</v>
      </c>
      <c r="D1020" s="24">
        <v>5</v>
      </c>
      <c r="E1020" t="s">
        <v>352</v>
      </c>
      <c r="F1020">
        <v>0.28000000000000003</v>
      </c>
      <c r="G1020">
        <v>6.9470000000000001</v>
      </c>
      <c r="H1020">
        <v>5.22</v>
      </c>
      <c r="I1020">
        <v>22.61</v>
      </c>
      <c r="J1020">
        <v>2.1000000000000001E-2</v>
      </c>
      <c r="K1020">
        <v>5.63</v>
      </c>
      <c r="L1020">
        <v>0.31</v>
      </c>
      <c r="M1020">
        <v>0.32200000000000001</v>
      </c>
      <c r="N1020">
        <v>0.41</v>
      </c>
      <c r="O1020">
        <v>13.92</v>
      </c>
      <c r="P1020" s="3">
        <v>53.416695992444737</v>
      </c>
      <c r="Q1020" s="3">
        <v>3.1017411026353594</v>
      </c>
    </row>
    <row r="1021" spans="1:17" x14ac:dyDescent="0.3">
      <c r="A1021" t="s">
        <v>395</v>
      </c>
      <c r="B1021" s="19" t="s">
        <v>177</v>
      </c>
      <c r="C1021" s="21" t="s">
        <v>171</v>
      </c>
      <c r="D1021" s="24">
        <v>5</v>
      </c>
      <c r="E1021" t="s">
        <v>352</v>
      </c>
      <c r="F1021">
        <v>0.26</v>
      </c>
      <c r="G1021">
        <v>7.2610000000000001</v>
      </c>
      <c r="H1021">
        <v>5.4470000000000001</v>
      </c>
      <c r="I1021">
        <v>23.35</v>
      </c>
      <c r="J1021">
        <v>1.7399999999999999E-2</v>
      </c>
      <c r="K1021">
        <v>5.84</v>
      </c>
      <c r="L1021">
        <v>0.27</v>
      </c>
      <c r="M1021">
        <v>0.36599999999999999</v>
      </c>
      <c r="N1021">
        <v>0.4</v>
      </c>
      <c r="O1021">
        <v>14.03</v>
      </c>
      <c r="P1021" s="3">
        <v>54.319644024020988</v>
      </c>
      <c r="Q1021" s="3">
        <v>3.3693251638232313</v>
      </c>
    </row>
    <row r="1022" spans="1:17" x14ac:dyDescent="0.3">
      <c r="A1022" t="s">
        <v>396</v>
      </c>
      <c r="B1022" s="19" t="s">
        <v>177</v>
      </c>
      <c r="C1022" s="21" t="s">
        <v>171</v>
      </c>
      <c r="D1022" s="24">
        <v>5</v>
      </c>
      <c r="E1022" t="s">
        <v>352</v>
      </c>
      <c r="F1022">
        <v>0.17799999999999999</v>
      </c>
      <c r="G1022">
        <v>10.29</v>
      </c>
      <c r="H1022">
        <v>3.93</v>
      </c>
      <c r="I1022">
        <v>22.78</v>
      </c>
      <c r="J1022">
        <v>1.5299999999999999E-2</v>
      </c>
      <c r="K1022">
        <v>4.1100000000000003</v>
      </c>
      <c r="L1022">
        <v>0.23</v>
      </c>
      <c r="M1022">
        <v>0.53</v>
      </c>
      <c r="N1022">
        <v>0.38</v>
      </c>
      <c r="O1022">
        <v>14.48</v>
      </c>
      <c r="P1022" s="3">
        <v>62.017758935277627</v>
      </c>
      <c r="Q1022" s="3">
        <v>6.5405003568802984</v>
      </c>
    </row>
    <row r="1023" spans="1:17" x14ac:dyDescent="0.3">
      <c r="A1023" t="s">
        <v>397</v>
      </c>
      <c r="B1023" s="19" t="s">
        <v>177</v>
      </c>
      <c r="C1023" s="21" t="s">
        <v>171</v>
      </c>
      <c r="D1023" s="24">
        <v>5</v>
      </c>
      <c r="E1023" t="s">
        <v>352</v>
      </c>
      <c r="F1023">
        <v>0.22</v>
      </c>
      <c r="G1023">
        <v>6.1180000000000003</v>
      </c>
      <c r="H1023">
        <v>5.4210000000000003</v>
      </c>
      <c r="I1023">
        <v>22.91</v>
      </c>
      <c r="J1023">
        <v>3.0499999999999999E-2</v>
      </c>
      <c r="K1023">
        <v>7.625</v>
      </c>
      <c r="L1023">
        <v>0.31</v>
      </c>
      <c r="M1023">
        <v>0.29099999999999998</v>
      </c>
      <c r="N1023">
        <v>0.36</v>
      </c>
      <c r="O1023">
        <v>13.33</v>
      </c>
      <c r="P1023" s="3">
        <v>51.327588312190748</v>
      </c>
      <c r="Q1023" s="3">
        <v>2.7101013682498851</v>
      </c>
    </row>
    <row r="1024" spans="1:17" x14ac:dyDescent="0.3">
      <c r="A1024" t="s">
        <v>397</v>
      </c>
      <c r="B1024" s="19" t="s">
        <v>243</v>
      </c>
      <c r="C1024" s="21" t="s">
        <v>171</v>
      </c>
      <c r="D1024" s="24">
        <v>5</v>
      </c>
      <c r="E1024" t="s">
        <v>352</v>
      </c>
      <c r="F1024">
        <v>0.27</v>
      </c>
      <c r="G1024">
        <v>8.1289999999999996</v>
      </c>
      <c r="H1024">
        <v>4.75</v>
      </c>
      <c r="I1024">
        <v>22.5</v>
      </c>
      <c r="J1024">
        <v>1.2E-2</v>
      </c>
      <c r="K1024">
        <v>4.8899999999999997</v>
      </c>
      <c r="L1024">
        <v>0.3</v>
      </c>
      <c r="M1024">
        <v>0.315</v>
      </c>
      <c r="N1024">
        <v>0.41599999999999998</v>
      </c>
      <c r="O1024">
        <v>13.91</v>
      </c>
      <c r="P1024" s="3">
        <v>57.315318415847408</v>
      </c>
      <c r="Q1024" s="3">
        <v>3.3268040635457146</v>
      </c>
    </row>
    <row r="1025" spans="1:17" x14ac:dyDescent="0.3">
      <c r="A1025" t="s">
        <v>397</v>
      </c>
      <c r="B1025" s="19" t="s">
        <v>177</v>
      </c>
      <c r="C1025" s="21" t="s">
        <v>171</v>
      </c>
      <c r="D1025" s="24">
        <v>5</v>
      </c>
      <c r="E1025" t="s">
        <v>352</v>
      </c>
      <c r="F1025">
        <v>0.24</v>
      </c>
      <c r="G1025">
        <v>8.0389999999999997</v>
      </c>
      <c r="H1025">
        <v>4.66</v>
      </c>
      <c r="I1025">
        <v>23.29</v>
      </c>
      <c r="J1025">
        <v>1.7399999999999999E-2</v>
      </c>
      <c r="K1025">
        <v>5.09</v>
      </c>
      <c r="L1025">
        <v>0.28999999999999998</v>
      </c>
      <c r="M1025">
        <v>0.35799999999999998</v>
      </c>
      <c r="N1025">
        <v>0.38</v>
      </c>
      <c r="O1025">
        <v>14.31</v>
      </c>
      <c r="P1025" s="3">
        <v>56.346680663158544</v>
      </c>
      <c r="Q1025" s="3">
        <v>3.8337517394959777</v>
      </c>
    </row>
    <row r="1026" spans="1:17" x14ac:dyDescent="0.3">
      <c r="A1026" t="s">
        <v>397</v>
      </c>
      <c r="B1026" s="19" t="s">
        <v>243</v>
      </c>
      <c r="C1026" s="21" t="s">
        <v>171</v>
      </c>
      <c r="D1026" s="24">
        <v>5</v>
      </c>
      <c r="E1026" t="s">
        <v>352</v>
      </c>
      <c r="F1026">
        <v>0.26</v>
      </c>
      <c r="G1026">
        <v>7.9720000000000004</v>
      </c>
      <c r="H1026">
        <v>4.49</v>
      </c>
      <c r="I1026">
        <v>22.39</v>
      </c>
      <c r="J1026">
        <v>1.4999999999999999E-2</v>
      </c>
      <c r="K1026">
        <v>4.7699999999999996</v>
      </c>
      <c r="L1026">
        <v>0.31</v>
      </c>
      <c r="M1026">
        <v>0.374</v>
      </c>
      <c r="N1026">
        <v>0.41399999999999998</v>
      </c>
      <c r="O1026">
        <v>14.07</v>
      </c>
      <c r="P1026" s="3">
        <v>56.556734436089471</v>
      </c>
      <c r="Q1026" s="3">
        <v>4.1433508265057108</v>
      </c>
    </row>
    <row r="1027" spans="1:17" x14ac:dyDescent="0.3">
      <c r="A1027" t="s">
        <v>398</v>
      </c>
      <c r="B1027" s="19" t="s">
        <v>225</v>
      </c>
      <c r="C1027" s="21" t="s">
        <v>171</v>
      </c>
      <c r="D1027" s="24">
        <v>5</v>
      </c>
      <c r="E1027" t="s">
        <v>352</v>
      </c>
      <c r="F1027">
        <v>0.22</v>
      </c>
      <c r="G1027">
        <v>8.4480000000000004</v>
      </c>
      <c r="H1027">
        <v>4.74</v>
      </c>
      <c r="I1027">
        <v>23.07</v>
      </c>
      <c r="J1027">
        <v>1.4E-2</v>
      </c>
      <c r="K1027">
        <v>5.15</v>
      </c>
      <c r="L1027">
        <v>0.26500000000000001</v>
      </c>
      <c r="M1027">
        <v>0.46729999999999999</v>
      </c>
      <c r="N1027">
        <v>0.40510000000000002</v>
      </c>
      <c r="O1027">
        <v>13.97</v>
      </c>
      <c r="P1027" s="3">
        <v>58.149546798097681</v>
      </c>
      <c r="Q1027" s="3">
        <v>4.8669092557191949</v>
      </c>
    </row>
    <row r="1028" spans="1:17" x14ac:dyDescent="0.3">
      <c r="A1028" t="s">
        <v>399</v>
      </c>
      <c r="B1028" s="19" t="s">
        <v>281</v>
      </c>
      <c r="C1028" s="21" t="s">
        <v>171</v>
      </c>
      <c r="D1028" s="24">
        <v>5</v>
      </c>
      <c r="E1028" t="s">
        <v>352</v>
      </c>
      <c r="F1028">
        <v>0.21</v>
      </c>
      <c r="G1028">
        <v>8.9499999999999993</v>
      </c>
      <c r="H1028">
        <v>4.32</v>
      </c>
      <c r="I1028">
        <v>23.2</v>
      </c>
      <c r="J1028">
        <v>0.06</v>
      </c>
      <c r="K1028">
        <v>5.0599999999999996</v>
      </c>
      <c r="L1028">
        <v>0.25</v>
      </c>
      <c r="M1028">
        <v>0.37</v>
      </c>
      <c r="N1028">
        <v>0.4</v>
      </c>
      <c r="O1028">
        <v>13.85</v>
      </c>
      <c r="P1028" s="3">
        <v>59.754978557859111</v>
      </c>
      <c r="Q1028" s="3">
        <v>4.2553632246328164</v>
      </c>
    </row>
    <row r="1029" spans="1:17" x14ac:dyDescent="0.3">
      <c r="A1029" t="s">
        <v>400</v>
      </c>
      <c r="B1029" s="19" t="s">
        <v>177</v>
      </c>
      <c r="C1029" s="21" t="s">
        <v>171</v>
      </c>
      <c r="D1029" s="24">
        <v>5</v>
      </c>
      <c r="E1029" t="s">
        <v>352</v>
      </c>
      <c r="F1029">
        <v>0.27</v>
      </c>
      <c r="G1029">
        <v>6.4660000000000002</v>
      </c>
      <c r="H1029">
        <v>5.0999999999999996</v>
      </c>
      <c r="I1029">
        <v>23.02</v>
      </c>
      <c r="J1029">
        <v>5.7799999999999997E-2</v>
      </c>
      <c r="K1029">
        <v>6.58</v>
      </c>
      <c r="L1029">
        <v>0.45</v>
      </c>
      <c r="M1029">
        <v>0.35499999999999998</v>
      </c>
      <c r="N1029">
        <v>0.42</v>
      </c>
      <c r="O1029">
        <v>15.11</v>
      </c>
      <c r="P1029" s="3">
        <v>49.57748027054091</v>
      </c>
      <c r="Q1029" s="3">
        <v>3.4861960994723322</v>
      </c>
    </row>
    <row r="1030" spans="1:17" x14ac:dyDescent="0.3">
      <c r="A1030" t="s">
        <v>401</v>
      </c>
      <c r="B1030" s="19" t="s">
        <v>177</v>
      </c>
      <c r="C1030" s="21" t="s">
        <v>171</v>
      </c>
      <c r="D1030" s="24">
        <v>5</v>
      </c>
      <c r="E1030" t="s">
        <v>352</v>
      </c>
      <c r="F1030">
        <v>0.23</v>
      </c>
      <c r="G1030">
        <v>8.1359999999999992</v>
      </c>
      <c r="H1030">
        <v>5.04</v>
      </c>
      <c r="I1030">
        <v>23.44</v>
      </c>
      <c r="J1030">
        <v>3.1800000000000002E-2</v>
      </c>
      <c r="K1030">
        <v>5.36</v>
      </c>
      <c r="L1030">
        <v>0.27900000000000003</v>
      </c>
      <c r="M1030">
        <v>0.39700000000000002</v>
      </c>
      <c r="N1030">
        <v>0.41</v>
      </c>
      <c r="O1030">
        <v>13.53</v>
      </c>
      <c r="P1030" s="3">
        <v>58.012513943249623</v>
      </c>
      <c r="Q1030" s="3">
        <v>3.9270401715509387</v>
      </c>
    </row>
    <row r="1031" spans="1:17" x14ac:dyDescent="0.3">
      <c r="A1031" t="s">
        <v>401</v>
      </c>
      <c r="B1031" s="19" t="s">
        <v>177</v>
      </c>
      <c r="C1031" s="21" t="s">
        <v>171</v>
      </c>
      <c r="D1031" s="24">
        <v>5</v>
      </c>
      <c r="E1031" t="s">
        <v>352</v>
      </c>
      <c r="F1031">
        <v>0.153</v>
      </c>
      <c r="G1031">
        <v>9.9730000000000008</v>
      </c>
      <c r="H1031">
        <v>3.98</v>
      </c>
      <c r="I1031">
        <v>23.92</v>
      </c>
      <c r="J1031">
        <v>2.0299999999999999E-2</v>
      </c>
      <c r="K1031">
        <v>4.3099999999999996</v>
      </c>
      <c r="L1031">
        <v>0.26900000000000002</v>
      </c>
      <c r="M1031">
        <v>0.45400000000000001</v>
      </c>
      <c r="N1031">
        <v>0.38</v>
      </c>
      <c r="O1031">
        <v>12.66</v>
      </c>
      <c r="P1031" s="3">
        <v>64.412927947985409</v>
      </c>
      <c r="Q1031" s="3">
        <v>5.5885805001478417</v>
      </c>
    </row>
    <row r="1032" spans="1:17" x14ac:dyDescent="0.3">
      <c r="A1032" t="s">
        <v>402</v>
      </c>
      <c r="B1032" s="19" t="s">
        <v>177</v>
      </c>
      <c r="C1032" s="21" t="s">
        <v>171</v>
      </c>
      <c r="D1032" s="24">
        <v>5</v>
      </c>
      <c r="E1032" t="s">
        <v>352</v>
      </c>
      <c r="F1032">
        <v>0.28999999999999998</v>
      </c>
      <c r="G1032">
        <v>5.99</v>
      </c>
      <c r="H1032">
        <v>5.9480000000000004</v>
      </c>
      <c r="I1032">
        <v>23.41</v>
      </c>
      <c r="J1032">
        <v>2.98E-2</v>
      </c>
      <c r="K1032">
        <v>6.32</v>
      </c>
      <c r="L1032">
        <v>0.37</v>
      </c>
      <c r="M1032">
        <v>0.311</v>
      </c>
      <c r="N1032">
        <v>0.4</v>
      </c>
      <c r="O1032">
        <v>13.85</v>
      </c>
      <c r="P1032" s="3">
        <v>49.842602644651052</v>
      </c>
      <c r="Q1032" s="3">
        <v>2.6416000246298275</v>
      </c>
    </row>
    <row r="1033" spans="1:17" x14ac:dyDescent="0.3">
      <c r="A1033" t="s">
        <v>403</v>
      </c>
      <c r="B1033" s="19" t="s">
        <v>177</v>
      </c>
      <c r="C1033" s="21" t="s">
        <v>171</v>
      </c>
      <c r="D1033" s="24">
        <v>5</v>
      </c>
      <c r="E1033" t="s">
        <v>352</v>
      </c>
      <c r="F1033">
        <v>0.159</v>
      </c>
      <c r="G1033">
        <v>10.52</v>
      </c>
      <c r="H1033">
        <v>3.45</v>
      </c>
      <c r="I1033">
        <v>23.99</v>
      </c>
      <c r="J1033">
        <v>1.2200000000000001E-2</v>
      </c>
      <c r="K1033">
        <v>3.86</v>
      </c>
      <c r="L1033">
        <v>0.21</v>
      </c>
      <c r="M1033">
        <v>0.7</v>
      </c>
      <c r="N1033">
        <v>0.42</v>
      </c>
      <c r="O1033">
        <v>13.42</v>
      </c>
      <c r="P1033" s="3">
        <v>64.300482946383383</v>
      </c>
      <c r="Q1033" s="3">
        <v>9.5259278088459567</v>
      </c>
    </row>
    <row r="1034" spans="1:17" x14ac:dyDescent="0.3">
      <c r="A1034" t="s">
        <v>404</v>
      </c>
      <c r="B1034" s="19" t="s">
        <v>177</v>
      </c>
      <c r="C1034" s="21" t="s">
        <v>171</v>
      </c>
      <c r="D1034" s="24">
        <v>5</v>
      </c>
      <c r="E1034" t="s">
        <v>352</v>
      </c>
      <c r="F1034">
        <v>2.1000000000000001E-2</v>
      </c>
      <c r="G1034">
        <v>16.09</v>
      </c>
      <c r="H1034">
        <v>0.65</v>
      </c>
      <c r="I1034">
        <v>24.2</v>
      </c>
      <c r="J1034">
        <v>2E-3</v>
      </c>
      <c r="K1034">
        <v>0.94299999999999995</v>
      </c>
      <c r="L1034">
        <v>0.1</v>
      </c>
      <c r="M1034">
        <v>0.46300000000000002</v>
      </c>
      <c r="N1034">
        <v>0.36</v>
      </c>
      <c r="O1034">
        <v>13.23</v>
      </c>
      <c r="P1034" s="3">
        <v>73.645206643514484</v>
      </c>
      <c r="Q1034" s="3">
        <v>26.987790425703867</v>
      </c>
    </row>
    <row r="1035" spans="1:17" x14ac:dyDescent="0.3">
      <c r="A1035" t="s">
        <v>405</v>
      </c>
      <c r="B1035" s="19" t="s">
        <v>243</v>
      </c>
      <c r="C1035" s="21" t="s">
        <v>171</v>
      </c>
      <c r="D1035" s="24">
        <v>5</v>
      </c>
      <c r="E1035" t="s">
        <v>352</v>
      </c>
      <c r="F1035">
        <v>0.28000000000000003</v>
      </c>
      <c r="G1035">
        <v>8.7260000000000009</v>
      </c>
      <c r="H1035">
        <v>4.25</v>
      </c>
      <c r="I1035">
        <v>21.9</v>
      </c>
      <c r="J1035">
        <v>1.7000000000000001E-2</v>
      </c>
      <c r="K1035">
        <v>4.4000000000000004</v>
      </c>
      <c r="L1035">
        <v>0.23</v>
      </c>
      <c r="M1035">
        <v>0.376</v>
      </c>
      <c r="N1035">
        <v>0.379</v>
      </c>
      <c r="O1035">
        <v>15.54</v>
      </c>
      <c r="P1035" s="3">
        <v>56.335454816888138</v>
      </c>
      <c r="Q1035" s="3">
        <v>4.3894386731604467</v>
      </c>
    </row>
    <row r="1036" spans="1:17" x14ac:dyDescent="0.3">
      <c r="A1036" t="s">
        <v>406</v>
      </c>
      <c r="B1036" s="19" t="s">
        <v>243</v>
      </c>
      <c r="C1036" s="21" t="s">
        <v>171</v>
      </c>
      <c r="D1036" s="24">
        <v>5</v>
      </c>
      <c r="E1036" t="s">
        <v>352</v>
      </c>
      <c r="F1036">
        <v>0.3</v>
      </c>
      <c r="G1036">
        <v>10.79</v>
      </c>
      <c r="H1036">
        <v>2.25</v>
      </c>
      <c r="I1036">
        <v>17.649999999999999</v>
      </c>
      <c r="J1036">
        <v>2.8000000000000001E-2</v>
      </c>
      <c r="K1036">
        <v>2.5099999999999998</v>
      </c>
      <c r="L1036">
        <v>0.16</v>
      </c>
      <c r="M1036">
        <v>0.38</v>
      </c>
      <c r="N1036">
        <v>0.28699999999999998</v>
      </c>
      <c r="O1036">
        <v>18.32</v>
      </c>
      <c r="P1036" s="3">
        <v>57.505949289828656</v>
      </c>
      <c r="Q1036" s="3">
        <v>8.0578629306052232</v>
      </c>
    </row>
    <row r="1037" spans="1:17" x14ac:dyDescent="0.3">
      <c r="A1037" t="s">
        <v>407</v>
      </c>
      <c r="B1037" s="19" t="s">
        <v>243</v>
      </c>
      <c r="C1037" s="21" t="s">
        <v>171</v>
      </c>
      <c r="D1037" s="24">
        <v>5</v>
      </c>
      <c r="E1037" t="s">
        <v>352</v>
      </c>
      <c r="F1037">
        <v>0.19</v>
      </c>
      <c r="G1037">
        <v>11.16</v>
      </c>
      <c r="H1037">
        <v>2.95</v>
      </c>
      <c r="I1037">
        <v>23.71</v>
      </c>
      <c r="J1037">
        <v>9.1000000000000004E-3</v>
      </c>
      <c r="K1037">
        <v>3.26</v>
      </c>
      <c r="L1037">
        <v>0.2</v>
      </c>
      <c r="M1037">
        <v>0.502</v>
      </c>
      <c r="N1037">
        <v>0.40300000000000002</v>
      </c>
      <c r="O1037">
        <v>12.86</v>
      </c>
      <c r="P1037" s="3">
        <v>66.599187319838521</v>
      </c>
      <c r="Q1037" s="3">
        <v>8.1140042370490253</v>
      </c>
    </row>
    <row r="1038" spans="1:17" x14ac:dyDescent="0.3">
      <c r="A1038" t="s">
        <v>407</v>
      </c>
      <c r="B1038" s="19" t="s">
        <v>177</v>
      </c>
      <c r="C1038" s="21" t="s">
        <v>171</v>
      </c>
      <c r="D1038" s="24">
        <v>5</v>
      </c>
      <c r="E1038" t="s">
        <v>352</v>
      </c>
      <c r="F1038">
        <v>0.13700000000000001</v>
      </c>
      <c r="G1038">
        <v>11.25</v>
      </c>
      <c r="H1038">
        <v>3.03</v>
      </c>
      <c r="I1038">
        <v>24.04</v>
      </c>
      <c r="J1038">
        <v>1.6E-2</v>
      </c>
      <c r="K1038">
        <v>3.34</v>
      </c>
      <c r="L1038">
        <v>0.22</v>
      </c>
      <c r="M1038">
        <v>0.55000000000000004</v>
      </c>
      <c r="N1038">
        <v>0.38</v>
      </c>
      <c r="O1038">
        <v>13.030000000000001</v>
      </c>
      <c r="P1038" s="3">
        <v>66.485632473408131</v>
      </c>
      <c r="Q1038" s="3">
        <v>8.6085468371982792</v>
      </c>
    </row>
    <row r="1039" spans="1:17" x14ac:dyDescent="0.3">
      <c r="A1039" t="s">
        <v>408</v>
      </c>
      <c r="B1039" s="19" t="s">
        <v>177</v>
      </c>
      <c r="C1039" s="21" t="s">
        <v>171</v>
      </c>
      <c r="D1039" s="24">
        <v>5</v>
      </c>
      <c r="E1039" t="s">
        <v>352</v>
      </c>
      <c r="F1039">
        <v>0.19600000000000001</v>
      </c>
      <c r="G1039">
        <v>9.9510000000000005</v>
      </c>
      <c r="H1039">
        <v>3.88</v>
      </c>
      <c r="I1039">
        <v>24.28</v>
      </c>
      <c r="J1039">
        <v>2.2800000000000001E-2</v>
      </c>
      <c r="K1039">
        <v>4.09</v>
      </c>
      <c r="L1039">
        <v>0.26</v>
      </c>
      <c r="M1039">
        <v>0.48699999999999999</v>
      </c>
      <c r="N1039">
        <v>0.38</v>
      </c>
      <c r="O1039">
        <v>12.31</v>
      </c>
      <c r="P1039" s="3">
        <v>65.002725526728952</v>
      </c>
      <c r="Q1039" s="3">
        <v>6.1150157009306847</v>
      </c>
    </row>
    <row r="1040" spans="1:17" x14ac:dyDescent="0.3">
      <c r="A1040" t="s">
        <v>408</v>
      </c>
      <c r="B1040" s="19" t="s">
        <v>243</v>
      </c>
      <c r="C1040" s="21" t="s">
        <v>171</v>
      </c>
      <c r="D1040" s="24">
        <v>5</v>
      </c>
      <c r="E1040" t="s">
        <v>352</v>
      </c>
      <c r="F1040">
        <v>0.21</v>
      </c>
      <c r="G1040">
        <v>11.04</v>
      </c>
      <c r="H1040">
        <v>3.09</v>
      </c>
      <c r="I1040">
        <v>23.6</v>
      </c>
      <c r="J1040">
        <v>9.1000000000000004E-3</v>
      </c>
      <c r="K1040">
        <v>3.46</v>
      </c>
      <c r="L1040">
        <v>0.22</v>
      </c>
      <c r="M1040">
        <v>0.5</v>
      </c>
      <c r="N1040">
        <v>0.40500000000000003</v>
      </c>
      <c r="O1040">
        <v>12.77</v>
      </c>
      <c r="P1040" s="3">
        <v>66.514874550337566</v>
      </c>
      <c r="Q1040" s="3">
        <v>7.7463857090294228</v>
      </c>
    </row>
    <row r="1041" spans="1:17" x14ac:dyDescent="0.3">
      <c r="A1041" t="s">
        <v>408</v>
      </c>
      <c r="B1041" s="19" t="s">
        <v>243</v>
      </c>
      <c r="C1041" s="21" t="s">
        <v>171</v>
      </c>
      <c r="D1041" s="24">
        <v>5</v>
      </c>
      <c r="E1041" t="s">
        <v>352</v>
      </c>
      <c r="F1041">
        <v>0.2</v>
      </c>
      <c r="G1041">
        <v>11.55</v>
      </c>
      <c r="H1041">
        <v>2.75</v>
      </c>
      <c r="I1041">
        <v>23.86</v>
      </c>
      <c r="J1041">
        <v>9.1000000000000004E-3</v>
      </c>
      <c r="K1041">
        <v>3.09</v>
      </c>
      <c r="L1041">
        <v>0.21</v>
      </c>
      <c r="M1041">
        <v>0.51600000000000001</v>
      </c>
      <c r="N1041">
        <v>0.40899999999999997</v>
      </c>
      <c r="O1041">
        <v>12.62</v>
      </c>
      <c r="P1041" s="3">
        <v>67.771715949180802</v>
      </c>
      <c r="Q1041" s="3">
        <v>8.87295908160125</v>
      </c>
    </row>
    <row r="1042" spans="1:17" x14ac:dyDescent="0.3">
      <c r="A1042" t="s">
        <v>409</v>
      </c>
      <c r="B1042" s="19" t="s">
        <v>243</v>
      </c>
      <c r="C1042" s="21" t="s">
        <v>171</v>
      </c>
      <c r="D1042" s="24">
        <v>5</v>
      </c>
      <c r="E1042" t="s">
        <v>352</v>
      </c>
      <c r="F1042">
        <v>0.19</v>
      </c>
      <c r="G1042">
        <v>11.22</v>
      </c>
      <c r="H1042">
        <v>2.92</v>
      </c>
      <c r="I1042">
        <v>23.91</v>
      </c>
      <c r="J1042">
        <v>9.1000000000000004E-3</v>
      </c>
      <c r="K1042">
        <v>3.2299999999999995</v>
      </c>
      <c r="L1042">
        <v>0.22</v>
      </c>
      <c r="M1042">
        <v>0.51</v>
      </c>
      <c r="N1042">
        <v>0.40700000000000003</v>
      </c>
      <c r="O1042">
        <v>12.81</v>
      </c>
      <c r="P1042" s="3">
        <v>66.804800944464873</v>
      </c>
      <c r="Q1042" s="3">
        <v>8.3102188947898394</v>
      </c>
    </row>
    <row r="1043" spans="1:17" x14ac:dyDescent="0.3">
      <c r="A1043" t="s">
        <v>409</v>
      </c>
      <c r="B1043" s="19" t="s">
        <v>177</v>
      </c>
      <c r="C1043" s="21" t="s">
        <v>171</v>
      </c>
      <c r="D1043" s="24">
        <v>5</v>
      </c>
      <c r="E1043" t="s">
        <v>352</v>
      </c>
      <c r="F1043">
        <v>0.14599999999999999</v>
      </c>
      <c r="G1043">
        <v>10.96</v>
      </c>
      <c r="H1043">
        <v>3.04</v>
      </c>
      <c r="I1043">
        <v>24.43</v>
      </c>
      <c r="J1043">
        <v>1.6899999999999998E-2</v>
      </c>
      <c r="K1043">
        <v>3.38</v>
      </c>
      <c r="L1043">
        <v>0.19</v>
      </c>
      <c r="M1043">
        <v>0.55000000000000004</v>
      </c>
      <c r="N1043">
        <v>0.35</v>
      </c>
      <c r="O1043">
        <v>12.85</v>
      </c>
      <c r="P1043" s="3">
        <v>66.213126857020825</v>
      </c>
      <c r="Q1043" s="3">
        <v>8.5826596511415261</v>
      </c>
    </row>
    <row r="1044" spans="1:17" x14ac:dyDescent="0.3">
      <c r="A1044" t="s">
        <v>410</v>
      </c>
      <c r="B1044" s="19" t="s">
        <v>243</v>
      </c>
      <c r="C1044" s="21" t="s">
        <v>171</v>
      </c>
      <c r="D1044" s="24">
        <v>5</v>
      </c>
      <c r="E1044" t="s">
        <v>352</v>
      </c>
      <c r="F1044">
        <v>0.32</v>
      </c>
      <c r="G1044">
        <v>6.633</v>
      </c>
      <c r="H1044">
        <v>5.42</v>
      </c>
      <c r="I1044">
        <v>22.61</v>
      </c>
      <c r="J1044">
        <v>2.8000000000000001E-2</v>
      </c>
      <c r="K1044">
        <v>5.81</v>
      </c>
      <c r="L1044">
        <v>0.31</v>
      </c>
      <c r="M1044">
        <v>0.35699999999999998</v>
      </c>
      <c r="N1044">
        <v>0.41799999999999998</v>
      </c>
      <c r="O1044">
        <v>13.51</v>
      </c>
      <c r="P1044" s="3">
        <v>53.009481440332536</v>
      </c>
      <c r="Q1044" s="3">
        <v>3.3050418435154971</v>
      </c>
    </row>
    <row r="1045" spans="1:17" x14ac:dyDescent="0.3">
      <c r="A1045" t="s">
        <v>411</v>
      </c>
      <c r="B1045" s="19" t="s">
        <v>243</v>
      </c>
      <c r="C1045" s="21" t="s">
        <v>171</v>
      </c>
      <c r="D1045" s="24">
        <v>5</v>
      </c>
      <c r="E1045" t="s">
        <v>352</v>
      </c>
      <c r="F1045">
        <v>0.3</v>
      </c>
      <c r="G1045">
        <v>7.0369999999999999</v>
      </c>
      <c r="H1045">
        <v>5.0599999999999996</v>
      </c>
      <c r="I1045">
        <v>22.49</v>
      </c>
      <c r="J1045">
        <v>1.9E-2</v>
      </c>
      <c r="K1045">
        <v>5.49</v>
      </c>
      <c r="L1045">
        <v>0.31</v>
      </c>
      <c r="M1045">
        <v>0.35199999999999998</v>
      </c>
      <c r="N1045">
        <v>0.40400000000000003</v>
      </c>
      <c r="O1045">
        <v>14.3</v>
      </c>
      <c r="P1045" s="3">
        <v>53.066653753615427</v>
      </c>
      <c r="Q1045" s="3">
        <v>3.4841356387872544</v>
      </c>
    </row>
    <row r="1046" spans="1:17" x14ac:dyDescent="0.3">
      <c r="A1046" t="s">
        <v>412</v>
      </c>
      <c r="B1046" s="19" t="s">
        <v>413</v>
      </c>
      <c r="C1046" s="21" t="s">
        <v>171</v>
      </c>
      <c r="D1046" s="24">
        <v>5</v>
      </c>
      <c r="E1046" t="s">
        <v>352</v>
      </c>
      <c r="F1046">
        <v>0.12</v>
      </c>
      <c r="G1046">
        <v>13.28</v>
      </c>
      <c r="H1046">
        <v>1.93</v>
      </c>
      <c r="I1046">
        <v>23.87</v>
      </c>
      <c r="J1046">
        <v>0.05</v>
      </c>
      <c r="K1046">
        <v>2.5</v>
      </c>
      <c r="L1046">
        <v>0.13</v>
      </c>
      <c r="M1046">
        <v>0.47</v>
      </c>
      <c r="N1046">
        <v>0.44</v>
      </c>
      <c r="O1046">
        <v>13.3</v>
      </c>
      <c r="P1046" s="3">
        <v>69.643802422080043</v>
      </c>
      <c r="Q1046" s="3">
        <v>11.219243939557204</v>
      </c>
    </row>
    <row r="1047" spans="1:17" x14ac:dyDescent="0.3">
      <c r="A1047" t="s">
        <v>412</v>
      </c>
      <c r="B1047" s="19" t="s">
        <v>177</v>
      </c>
      <c r="C1047" s="21" t="s">
        <v>171</v>
      </c>
      <c r="D1047" s="24">
        <v>5</v>
      </c>
      <c r="E1047" t="s">
        <v>352</v>
      </c>
      <c r="F1047">
        <v>9.5000000000000001E-2</v>
      </c>
      <c r="G1047">
        <v>12.6</v>
      </c>
      <c r="H1047">
        <v>2.4900000000000002</v>
      </c>
      <c r="I1047">
        <v>23.62</v>
      </c>
      <c r="J1047">
        <v>6.0000000000000001E-3</v>
      </c>
      <c r="K1047">
        <v>2.95</v>
      </c>
      <c r="L1047">
        <v>0.15</v>
      </c>
      <c r="M1047">
        <v>0.6</v>
      </c>
      <c r="N1047">
        <v>0.43</v>
      </c>
      <c r="O1047">
        <v>13.27</v>
      </c>
      <c r="P1047" s="3">
        <v>68.569926738083055</v>
      </c>
      <c r="Q1047" s="3">
        <v>11.114433934984143</v>
      </c>
    </row>
    <row r="1048" spans="1:17" x14ac:dyDescent="0.3">
      <c r="A1048" t="s">
        <v>412</v>
      </c>
      <c r="B1048" s="19" t="s">
        <v>165</v>
      </c>
      <c r="C1048" s="21" t="s">
        <v>171</v>
      </c>
      <c r="D1048" s="24">
        <v>5</v>
      </c>
      <c r="E1048" t="s">
        <v>352</v>
      </c>
      <c r="F1048">
        <v>8.8999999999999996E-2</v>
      </c>
      <c r="G1048">
        <v>13.12</v>
      </c>
      <c r="H1048">
        <v>2.2799999999999998</v>
      </c>
      <c r="I1048">
        <v>23.88</v>
      </c>
      <c r="J1048">
        <v>0.02</v>
      </c>
      <c r="K1048">
        <v>2.61</v>
      </c>
      <c r="L1048">
        <v>0.13</v>
      </c>
      <c r="M1048">
        <v>0.61</v>
      </c>
      <c r="N1048">
        <v>0.38</v>
      </c>
      <c r="O1048">
        <v>13.29</v>
      </c>
      <c r="P1048" s="3">
        <v>69.402908411893776</v>
      </c>
      <c r="Q1048" s="3">
        <v>12.190972662004786</v>
      </c>
    </row>
    <row r="1049" spans="1:17" x14ac:dyDescent="0.3">
      <c r="A1049" t="s">
        <v>412</v>
      </c>
      <c r="B1049" s="19" t="s">
        <v>173</v>
      </c>
      <c r="C1049" s="21" t="s">
        <v>171</v>
      </c>
      <c r="D1049" s="24">
        <v>5</v>
      </c>
      <c r="E1049" t="s">
        <v>352</v>
      </c>
      <c r="F1049">
        <v>9.2999999999999999E-2</v>
      </c>
      <c r="G1049">
        <v>12.89</v>
      </c>
      <c r="H1049">
        <v>2.2599999999999998</v>
      </c>
      <c r="I1049">
        <v>23.76</v>
      </c>
      <c r="J1049">
        <v>7.0000000000000001E-3</v>
      </c>
      <c r="K1049">
        <v>2.74</v>
      </c>
      <c r="L1049">
        <v>0.14000000000000001</v>
      </c>
      <c r="M1049">
        <v>0.69699999999999995</v>
      </c>
      <c r="N1049">
        <v>0.40500000000000003</v>
      </c>
      <c r="O1049">
        <v>12.99</v>
      </c>
      <c r="P1049" s="3">
        <v>69.512077476621442</v>
      </c>
      <c r="Q1049" s="3">
        <v>13.796075973096144</v>
      </c>
    </row>
    <row r="1050" spans="1:17" x14ac:dyDescent="0.3">
      <c r="A1050" t="s">
        <v>414</v>
      </c>
      <c r="B1050" s="19" t="s">
        <v>322</v>
      </c>
      <c r="C1050" s="21" t="s">
        <v>171</v>
      </c>
      <c r="D1050" s="24">
        <v>5</v>
      </c>
      <c r="E1050" t="s">
        <v>352</v>
      </c>
      <c r="F1050">
        <v>0.16</v>
      </c>
      <c r="G1050">
        <v>10.64</v>
      </c>
      <c r="H1050">
        <v>4.0599999999999996</v>
      </c>
      <c r="I1050">
        <v>22.81</v>
      </c>
      <c r="J1050">
        <v>0.02</v>
      </c>
      <c r="K1050">
        <v>4.12</v>
      </c>
      <c r="L1050">
        <v>0.23</v>
      </c>
      <c r="M1050">
        <v>0.51</v>
      </c>
      <c r="N1050">
        <v>0.38</v>
      </c>
      <c r="O1050">
        <v>13.14</v>
      </c>
      <c r="P1050" s="3">
        <v>65.041352031643299</v>
      </c>
      <c r="Q1050" s="3">
        <v>6.1196031851703818</v>
      </c>
    </row>
    <row r="1051" spans="1:17" x14ac:dyDescent="0.3">
      <c r="A1051" t="s">
        <v>415</v>
      </c>
      <c r="B1051" s="19" t="s">
        <v>165</v>
      </c>
      <c r="C1051" s="21" t="s">
        <v>171</v>
      </c>
      <c r="D1051" s="24">
        <v>5</v>
      </c>
      <c r="E1051" t="s">
        <v>352</v>
      </c>
      <c r="F1051">
        <v>0.13</v>
      </c>
      <c r="G1051">
        <v>10.029999999999999</v>
      </c>
      <c r="H1051">
        <v>3.73</v>
      </c>
      <c r="I1051">
        <v>23.16</v>
      </c>
      <c r="J1051">
        <v>0.03</v>
      </c>
      <c r="K1051">
        <v>4</v>
      </c>
      <c r="L1051">
        <v>0.22</v>
      </c>
      <c r="M1051">
        <v>0.52</v>
      </c>
      <c r="N1051">
        <v>0.39</v>
      </c>
      <c r="O1051">
        <v>14</v>
      </c>
      <c r="P1051" s="3">
        <v>62.208823046453979</v>
      </c>
      <c r="Q1051" s="3">
        <v>6.7462874993292479</v>
      </c>
    </row>
    <row r="1052" spans="1:17" x14ac:dyDescent="0.3">
      <c r="A1052" t="s">
        <v>416</v>
      </c>
      <c r="B1052" s="19" t="s">
        <v>165</v>
      </c>
      <c r="C1052" s="21" t="s">
        <v>171</v>
      </c>
      <c r="D1052" s="24">
        <v>5</v>
      </c>
      <c r="E1052" t="s">
        <v>352</v>
      </c>
      <c r="F1052">
        <v>0.19</v>
      </c>
      <c r="G1052">
        <v>8.1769999999999996</v>
      </c>
      <c r="H1052">
        <v>5.7489999999999997</v>
      </c>
      <c r="I1052">
        <v>22.4</v>
      </c>
      <c r="J1052">
        <v>0.02</v>
      </c>
      <c r="K1052">
        <v>5.9</v>
      </c>
      <c r="L1052">
        <v>0.11</v>
      </c>
      <c r="M1052">
        <v>0.25</v>
      </c>
      <c r="N1052">
        <v>0.34</v>
      </c>
      <c r="O1052">
        <v>13.87</v>
      </c>
      <c r="P1052" s="3">
        <v>57.529667706057602</v>
      </c>
      <c r="Q1052" s="3">
        <v>2.206787999407362</v>
      </c>
    </row>
    <row r="1053" spans="1:17" x14ac:dyDescent="0.3">
      <c r="A1053" t="s">
        <v>416</v>
      </c>
      <c r="B1053" s="19" t="s">
        <v>191</v>
      </c>
      <c r="C1053" s="21" t="s">
        <v>171</v>
      </c>
      <c r="D1053" s="24">
        <v>5</v>
      </c>
      <c r="E1053" t="s">
        <v>352</v>
      </c>
      <c r="F1053">
        <v>0.21</v>
      </c>
      <c r="G1053">
        <v>8.3800000000000008</v>
      </c>
      <c r="H1053">
        <v>5.4</v>
      </c>
      <c r="I1053">
        <v>23.5</v>
      </c>
      <c r="J1053">
        <v>0.02</v>
      </c>
      <c r="K1053">
        <v>5.4</v>
      </c>
      <c r="L1053">
        <v>0.2</v>
      </c>
      <c r="M1053">
        <v>0.45</v>
      </c>
      <c r="N1053">
        <v>0.42</v>
      </c>
      <c r="O1053">
        <v>13.3</v>
      </c>
      <c r="P1053" s="3">
        <v>59.145457698168038</v>
      </c>
      <c r="Q1053" s="3">
        <v>4.1451207034814583</v>
      </c>
    </row>
    <row r="1054" spans="1:17" x14ac:dyDescent="0.3">
      <c r="A1054" t="s">
        <v>416</v>
      </c>
      <c r="B1054" s="19" t="s">
        <v>177</v>
      </c>
      <c r="C1054" s="21" t="s">
        <v>171</v>
      </c>
      <c r="D1054" s="24">
        <v>5</v>
      </c>
      <c r="E1054" t="s">
        <v>352</v>
      </c>
      <c r="F1054">
        <v>0.19</v>
      </c>
      <c r="G1054">
        <v>7.9470000000000001</v>
      </c>
      <c r="H1054">
        <v>5.5940000000000003</v>
      </c>
      <c r="I1054">
        <v>23.53</v>
      </c>
      <c r="J1054">
        <v>2.6700000000000002E-2</v>
      </c>
      <c r="K1054">
        <v>5.46</v>
      </c>
      <c r="L1054">
        <v>0.26</v>
      </c>
      <c r="M1054">
        <v>0.48299999999999998</v>
      </c>
      <c r="N1054">
        <v>0.4</v>
      </c>
      <c r="O1054">
        <v>12.75</v>
      </c>
      <c r="P1054" s="3">
        <v>58.883735281967397</v>
      </c>
      <c r="Q1054" s="3">
        <v>4.2883826158342035</v>
      </c>
    </row>
    <row r="1055" spans="1:17" x14ac:dyDescent="0.3">
      <c r="A1055" t="s">
        <v>416</v>
      </c>
      <c r="B1055" s="19" t="s">
        <v>177</v>
      </c>
      <c r="C1055" s="21" t="s">
        <v>171</v>
      </c>
      <c r="D1055" s="24">
        <v>5</v>
      </c>
      <c r="E1055" t="s">
        <v>352</v>
      </c>
      <c r="F1055">
        <v>0.22</v>
      </c>
      <c r="G1055">
        <v>7.7990000000000004</v>
      </c>
      <c r="H1055">
        <v>5.5060000000000002</v>
      </c>
      <c r="I1055">
        <v>23.53</v>
      </c>
      <c r="J1055">
        <v>2.98E-2</v>
      </c>
      <c r="K1055">
        <v>5.37</v>
      </c>
      <c r="L1055">
        <v>0.2</v>
      </c>
      <c r="M1055">
        <v>0.48699999999999999</v>
      </c>
      <c r="N1055">
        <v>0.38</v>
      </c>
      <c r="O1055">
        <v>12.75</v>
      </c>
      <c r="P1055" s="3">
        <v>58.427849184686394</v>
      </c>
      <c r="Q1055" s="3">
        <v>4.388412912644986</v>
      </c>
    </row>
    <row r="1056" spans="1:17" x14ac:dyDescent="0.3">
      <c r="A1056" t="s">
        <v>416</v>
      </c>
      <c r="B1056" s="19" t="s">
        <v>331</v>
      </c>
      <c r="C1056" s="21" t="s">
        <v>171</v>
      </c>
      <c r="D1056" s="24">
        <v>5</v>
      </c>
      <c r="E1056" t="s">
        <v>352</v>
      </c>
      <c r="F1056">
        <v>0.19</v>
      </c>
      <c r="G1056">
        <v>8.33</v>
      </c>
      <c r="H1056">
        <v>5.12</v>
      </c>
      <c r="I1056">
        <v>23.17</v>
      </c>
      <c r="J1056">
        <v>0.02</v>
      </c>
      <c r="K1056">
        <v>5.43</v>
      </c>
      <c r="L1056">
        <v>0.23</v>
      </c>
      <c r="M1056">
        <v>0.49</v>
      </c>
      <c r="N1056">
        <v>0.43</v>
      </c>
      <c r="O1056">
        <v>13.88</v>
      </c>
      <c r="P1056" s="3">
        <v>57.964406235310356</v>
      </c>
      <c r="Q1056" s="3">
        <v>4.7313007732946559</v>
      </c>
    </row>
    <row r="1057" spans="1:17" x14ac:dyDescent="0.3">
      <c r="A1057" t="s">
        <v>417</v>
      </c>
      <c r="B1057" s="19" t="s">
        <v>165</v>
      </c>
      <c r="C1057" s="21" t="s">
        <v>171</v>
      </c>
      <c r="D1057" s="24">
        <v>5</v>
      </c>
      <c r="E1057" t="s">
        <v>352</v>
      </c>
      <c r="F1057">
        <v>0.19</v>
      </c>
      <c r="G1057">
        <v>10.15</v>
      </c>
      <c r="H1057">
        <v>3.2</v>
      </c>
      <c r="I1057">
        <v>23.37</v>
      </c>
      <c r="J1057">
        <v>0.12</v>
      </c>
      <c r="K1057">
        <v>4.1399999999999997</v>
      </c>
      <c r="L1057">
        <v>0.37</v>
      </c>
      <c r="M1057">
        <v>0.55000000000000004</v>
      </c>
      <c r="N1057">
        <v>0.39</v>
      </c>
      <c r="O1057">
        <v>13.84</v>
      </c>
      <c r="P1057" s="3">
        <v>62.757059434651786</v>
      </c>
      <c r="Q1057" s="3">
        <v>8.1886669392525278</v>
      </c>
    </row>
    <row r="1058" spans="1:17" x14ac:dyDescent="0.3">
      <c r="A1058" t="s">
        <v>418</v>
      </c>
      <c r="B1058" s="19" t="s">
        <v>188</v>
      </c>
      <c r="C1058" s="21" t="s">
        <v>171</v>
      </c>
      <c r="D1058" s="24">
        <v>5</v>
      </c>
      <c r="E1058" t="s">
        <v>352</v>
      </c>
      <c r="F1058">
        <v>0.13</v>
      </c>
      <c r="G1058">
        <v>11.05</v>
      </c>
      <c r="H1058">
        <v>3.38</v>
      </c>
      <c r="I1058">
        <v>23.09</v>
      </c>
      <c r="J1058">
        <v>0.02</v>
      </c>
      <c r="K1058">
        <v>3.5</v>
      </c>
      <c r="L1058">
        <v>0.16</v>
      </c>
      <c r="M1058">
        <v>0.57999999999999996</v>
      </c>
      <c r="N1058">
        <v>0.38</v>
      </c>
      <c r="O1058">
        <v>13.28</v>
      </c>
      <c r="P1058" s="3">
        <v>65.65752271101907</v>
      </c>
      <c r="Q1058" s="3">
        <v>8.1765328060078986</v>
      </c>
    </row>
    <row r="1059" spans="1:17" x14ac:dyDescent="0.3">
      <c r="A1059" t="s">
        <v>419</v>
      </c>
      <c r="B1059" s="19" t="s">
        <v>188</v>
      </c>
      <c r="C1059" s="21" t="s">
        <v>171</v>
      </c>
      <c r="D1059" s="24">
        <v>5</v>
      </c>
      <c r="E1059" t="s">
        <v>352</v>
      </c>
      <c r="F1059">
        <v>0.16</v>
      </c>
      <c r="G1059">
        <v>10.58</v>
      </c>
      <c r="H1059">
        <v>3.45</v>
      </c>
      <c r="I1059">
        <v>23.17</v>
      </c>
      <c r="J1059">
        <v>0.02</v>
      </c>
      <c r="K1059">
        <v>4.0999999999999996</v>
      </c>
      <c r="L1059">
        <v>0.2</v>
      </c>
      <c r="M1059">
        <v>0.55000000000000004</v>
      </c>
      <c r="N1059">
        <v>0.41</v>
      </c>
      <c r="O1059">
        <v>13.47</v>
      </c>
      <c r="P1059" s="3">
        <v>64.345653851173964</v>
      </c>
      <c r="Q1059" s="3">
        <v>7.6406233347389092</v>
      </c>
    </row>
    <row r="1060" spans="1:17" x14ac:dyDescent="0.3">
      <c r="A1060" t="s">
        <v>420</v>
      </c>
      <c r="B1060" s="19" t="s">
        <v>177</v>
      </c>
      <c r="C1060" s="21" t="s">
        <v>171</v>
      </c>
      <c r="D1060" s="24">
        <v>5</v>
      </c>
      <c r="E1060" t="s">
        <v>352</v>
      </c>
      <c r="F1060">
        <v>0.17399999999999999</v>
      </c>
      <c r="G1060">
        <v>10.5</v>
      </c>
      <c r="H1060">
        <v>3.7</v>
      </c>
      <c r="I1060">
        <v>23.16</v>
      </c>
      <c r="J1060">
        <v>2.24E-2</v>
      </c>
      <c r="K1060">
        <v>4.13</v>
      </c>
      <c r="L1060">
        <v>0.24</v>
      </c>
      <c r="M1060">
        <v>0.52</v>
      </c>
      <c r="N1060">
        <v>0.4</v>
      </c>
      <c r="O1060">
        <v>13.61</v>
      </c>
      <c r="P1060" s="3">
        <v>63.933253780091889</v>
      </c>
      <c r="Q1060" s="3">
        <v>6.7972690467940842</v>
      </c>
    </row>
    <row r="1061" spans="1:17" x14ac:dyDescent="0.3">
      <c r="A1061" t="s">
        <v>420</v>
      </c>
      <c r="B1061" s="19" t="s">
        <v>165</v>
      </c>
      <c r="C1061" s="21" t="s">
        <v>171</v>
      </c>
      <c r="D1061" s="24">
        <v>5</v>
      </c>
      <c r="E1061" t="s">
        <v>352</v>
      </c>
      <c r="F1061">
        <v>0.16</v>
      </c>
      <c r="G1061">
        <v>10.66</v>
      </c>
      <c r="H1061">
        <v>3.74</v>
      </c>
      <c r="I1061">
        <v>23.22</v>
      </c>
      <c r="J1061">
        <v>0.02</v>
      </c>
      <c r="K1061">
        <v>4.0599999999999996</v>
      </c>
      <c r="L1061">
        <v>0.25</v>
      </c>
      <c r="M1061">
        <v>0.54</v>
      </c>
      <c r="N1061">
        <v>0.41</v>
      </c>
      <c r="O1061">
        <v>13.080000000000002</v>
      </c>
      <c r="P1061" s="3">
        <v>65.187971184508044</v>
      </c>
      <c r="Q1061" s="3">
        <v>6.9702478987761483</v>
      </c>
    </row>
    <row r="1062" spans="1:17" x14ac:dyDescent="0.3">
      <c r="A1062" t="s">
        <v>421</v>
      </c>
      <c r="B1062" s="19" t="s">
        <v>165</v>
      </c>
      <c r="C1062" s="21" t="s">
        <v>171</v>
      </c>
      <c r="D1062" s="24">
        <v>5</v>
      </c>
      <c r="E1062" t="s">
        <v>352</v>
      </c>
      <c r="F1062">
        <v>0.44</v>
      </c>
      <c r="G1062">
        <v>8.6769999999999996</v>
      </c>
      <c r="H1062">
        <v>4.42</v>
      </c>
      <c r="I1062">
        <v>22.58</v>
      </c>
      <c r="J1062">
        <v>0.05</v>
      </c>
      <c r="K1062">
        <v>5.1100000000000003</v>
      </c>
      <c r="L1062">
        <v>0.32</v>
      </c>
      <c r="M1062">
        <v>0.44</v>
      </c>
      <c r="N1062">
        <v>0.43</v>
      </c>
      <c r="O1062">
        <v>13.85</v>
      </c>
      <c r="P1062" s="3">
        <v>59.007816589000342</v>
      </c>
      <c r="Q1062" s="3">
        <v>4.9120211308164361</v>
      </c>
    </row>
    <row r="1063" spans="1:17" x14ac:dyDescent="0.3">
      <c r="A1063" t="s">
        <v>422</v>
      </c>
      <c r="B1063" s="19" t="s">
        <v>177</v>
      </c>
      <c r="C1063" s="21" t="s">
        <v>171</v>
      </c>
      <c r="D1063" s="24">
        <v>5</v>
      </c>
      <c r="E1063" t="s">
        <v>352</v>
      </c>
      <c r="F1063">
        <v>0.22</v>
      </c>
      <c r="G1063">
        <v>8.4499999999999993</v>
      </c>
      <c r="H1063">
        <v>4.54</v>
      </c>
      <c r="I1063">
        <v>23.72</v>
      </c>
      <c r="J1063">
        <v>2.69E-2</v>
      </c>
      <c r="K1063">
        <v>4.9800000000000004</v>
      </c>
      <c r="L1063">
        <v>0.28999999999999998</v>
      </c>
      <c r="M1063">
        <v>0.442</v>
      </c>
      <c r="N1063">
        <v>0.41</v>
      </c>
      <c r="O1063">
        <v>13.53</v>
      </c>
      <c r="P1063" s="3">
        <v>58.931997513790108</v>
      </c>
      <c r="Q1063" s="3">
        <v>4.8091236586380965</v>
      </c>
    </row>
    <row r="1064" spans="1:17" x14ac:dyDescent="0.3">
      <c r="A1064" t="s">
        <v>422</v>
      </c>
      <c r="B1064" s="19" t="s">
        <v>177</v>
      </c>
      <c r="C1064" s="21" t="s">
        <v>171</v>
      </c>
      <c r="D1064" s="24">
        <v>5</v>
      </c>
      <c r="E1064" t="s">
        <v>352</v>
      </c>
      <c r="F1064">
        <v>0.23</v>
      </c>
      <c r="G1064">
        <v>8.8390000000000004</v>
      </c>
      <c r="H1064">
        <v>4.53</v>
      </c>
      <c r="I1064">
        <v>23.65</v>
      </c>
      <c r="J1064">
        <v>1.7299999999999999E-2</v>
      </c>
      <c r="K1064">
        <v>4.8099999999999996</v>
      </c>
      <c r="L1064">
        <v>0.28000000000000003</v>
      </c>
      <c r="M1064">
        <v>0.49399999999999999</v>
      </c>
      <c r="N1064">
        <v>0.44</v>
      </c>
      <c r="O1064">
        <v>13.43</v>
      </c>
      <c r="P1064" s="3">
        <v>60.194613830671507</v>
      </c>
      <c r="Q1064" s="3">
        <v>5.3558303871080382</v>
      </c>
    </row>
    <row r="1065" spans="1:17" x14ac:dyDescent="0.3">
      <c r="A1065" t="s">
        <v>422</v>
      </c>
      <c r="B1065" s="19" t="s">
        <v>165</v>
      </c>
      <c r="C1065" s="21" t="s">
        <v>171</v>
      </c>
      <c r="D1065" s="24">
        <v>5</v>
      </c>
      <c r="E1065" t="s">
        <v>352</v>
      </c>
      <c r="F1065">
        <v>0.19</v>
      </c>
      <c r="G1065">
        <v>9.6120000000000001</v>
      </c>
      <c r="H1065">
        <v>4.2699999999999996</v>
      </c>
      <c r="I1065">
        <v>22.66</v>
      </c>
      <c r="J1065">
        <v>0.02</v>
      </c>
      <c r="K1065">
        <v>4.7</v>
      </c>
      <c r="L1065">
        <v>0.3</v>
      </c>
      <c r="M1065">
        <v>0.56999999999999995</v>
      </c>
      <c r="N1065">
        <v>0.39</v>
      </c>
      <c r="O1065">
        <v>14.15</v>
      </c>
      <c r="P1065" s="3">
        <v>60.94963393179016</v>
      </c>
      <c r="Q1065" s="3">
        <v>6.4783351627146892</v>
      </c>
    </row>
    <row r="1066" spans="1:17" x14ac:dyDescent="0.3">
      <c r="A1066" t="s">
        <v>423</v>
      </c>
      <c r="B1066" s="19" t="s">
        <v>177</v>
      </c>
      <c r="C1066" s="21" t="s">
        <v>171</v>
      </c>
      <c r="D1066" s="24">
        <v>5</v>
      </c>
      <c r="E1066" t="s">
        <v>352</v>
      </c>
      <c r="F1066">
        <v>0.3</v>
      </c>
      <c r="G1066">
        <v>6.226</v>
      </c>
      <c r="H1066">
        <v>5.8970000000000002</v>
      </c>
      <c r="I1066">
        <v>23.51</v>
      </c>
      <c r="J1066">
        <v>2.75E-2</v>
      </c>
      <c r="K1066">
        <v>6.18</v>
      </c>
      <c r="L1066">
        <v>0.38</v>
      </c>
      <c r="M1066">
        <v>0.40199999999999997</v>
      </c>
      <c r="N1066">
        <v>0.39</v>
      </c>
      <c r="O1066">
        <v>13.21</v>
      </c>
      <c r="P1066" s="3">
        <v>51.990394102805368</v>
      </c>
      <c r="Q1066" s="3">
        <v>3.4166568451788533</v>
      </c>
    </row>
    <row r="1067" spans="1:17" x14ac:dyDescent="0.3">
      <c r="A1067" t="s">
        <v>423</v>
      </c>
      <c r="B1067" s="19" t="s">
        <v>165</v>
      </c>
      <c r="C1067" s="21" t="s">
        <v>171</v>
      </c>
      <c r="D1067" s="24">
        <v>5</v>
      </c>
      <c r="E1067" t="s">
        <v>352</v>
      </c>
      <c r="F1067">
        <v>0.26</v>
      </c>
      <c r="G1067">
        <v>7.375</v>
      </c>
      <c r="H1067">
        <v>5.4050000000000002</v>
      </c>
      <c r="I1067">
        <v>22.35</v>
      </c>
      <c r="J1067">
        <v>0.02</v>
      </c>
      <c r="K1067">
        <v>5.73</v>
      </c>
      <c r="L1067">
        <v>0.49</v>
      </c>
      <c r="M1067">
        <v>0.47</v>
      </c>
      <c r="N1067">
        <v>0.4</v>
      </c>
      <c r="O1067">
        <v>14.44</v>
      </c>
      <c r="P1067" s="3">
        <v>53.991281638357989</v>
      </c>
      <c r="Q1067" s="3">
        <v>4.3175621183609199</v>
      </c>
    </row>
    <row r="1068" spans="1:17" x14ac:dyDescent="0.3">
      <c r="A1068" t="s">
        <v>424</v>
      </c>
      <c r="B1068" s="19" t="s">
        <v>165</v>
      </c>
      <c r="C1068" s="21" t="s">
        <v>171</v>
      </c>
      <c r="D1068" s="24">
        <v>5</v>
      </c>
      <c r="E1068" t="s">
        <v>352</v>
      </c>
      <c r="F1068">
        <v>0.28000000000000003</v>
      </c>
      <c r="G1068">
        <v>6.3129999999999997</v>
      </c>
      <c r="H1068">
        <v>6.194</v>
      </c>
      <c r="I1068">
        <v>22.53</v>
      </c>
      <c r="J1068">
        <v>0.02</v>
      </c>
      <c r="K1068">
        <v>6.9</v>
      </c>
      <c r="L1068">
        <v>0.28000000000000003</v>
      </c>
      <c r="M1068">
        <v>0.34</v>
      </c>
      <c r="N1068">
        <v>0.38</v>
      </c>
      <c r="O1068">
        <v>13.58</v>
      </c>
      <c r="P1068" s="3">
        <v>51.64717330344557</v>
      </c>
      <c r="Q1068" s="3">
        <v>2.7695810309946434</v>
      </c>
    </row>
    <row r="1069" spans="1:17" x14ac:dyDescent="0.3">
      <c r="A1069" t="s">
        <v>425</v>
      </c>
      <c r="B1069" s="19" t="s">
        <v>177</v>
      </c>
      <c r="C1069" s="21" t="s">
        <v>171</v>
      </c>
      <c r="D1069" s="24">
        <v>5</v>
      </c>
      <c r="E1069" t="s">
        <v>352</v>
      </c>
      <c r="F1069">
        <v>0.14099999999999999</v>
      </c>
      <c r="G1069">
        <v>11.72</v>
      </c>
      <c r="H1069">
        <v>2.67</v>
      </c>
      <c r="I1069">
        <v>23.57</v>
      </c>
      <c r="J1069">
        <v>9.1000000000000004E-3</v>
      </c>
      <c r="K1069">
        <v>3.2700000000000005</v>
      </c>
      <c r="L1069">
        <v>0.16</v>
      </c>
      <c r="M1069">
        <v>0.71</v>
      </c>
      <c r="N1069">
        <v>0.41</v>
      </c>
      <c r="O1069">
        <v>13.99</v>
      </c>
      <c r="P1069" s="3">
        <v>65.810299303585865</v>
      </c>
      <c r="Q1069" s="3">
        <v>12.125855784929524</v>
      </c>
    </row>
    <row r="1070" spans="1:17" x14ac:dyDescent="0.3">
      <c r="A1070" t="s">
        <v>425</v>
      </c>
      <c r="B1070" s="19" t="s">
        <v>426</v>
      </c>
      <c r="C1070" s="21" t="s">
        <v>171</v>
      </c>
      <c r="D1070" s="24">
        <v>5</v>
      </c>
      <c r="E1070" t="s">
        <v>352</v>
      </c>
      <c r="F1070">
        <v>0.21</v>
      </c>
      <c r="G1070">
        <v>10.76</v>
      </c>
      <c r="H1070">
        <v>3.68</v>
      </c>
      <c r="I1070">
        <v>23.56</v>
      </c>
      <c r="J1070">
        <v>0.11</v>
      </c>
      <c r="K1070">
        <v>3.82</v>
      </c>
      <c r="L1070">
        <v>0.27600000000000002</v>
      </c>
      <c r="M1070">
        <v>0.71</v>
      </c>
      <c r="N1070">
        <v>0.42699999999999999</v>
      </c>
      <c r="O1070">
        <v>13.39</v>
      </c>
      <c r="P1070" s="3">
        <v>64.867618520555411</v>
      </c>
      <c r="Q1070" s="3">
        <v>9.1007090177076275</v>
      </c>
    </row>
    <row r="1071" spans="1:17" x14ac:dyDescent="0.3">
      <c r="A1071" s="5" t="s">
        <v>412</v>
      </c>
      <c r="B1071" s="22" t="s">
        <v>151</v>
      </c>
      <c r="C1071" s="21" t="s">
        <v>152</v>
      </c>
      <c r="D1071" s="24">
        <v>5</v>
      </c>
      <c r="E1071" t="s">
        <v>352</v>
      </c>
      <c r="F1071">
        <v>8.9023701576340361E-2</v>
      </c>
      <c r="G1071">
        <v>13.116160926955141</v>
      </c>
      <c r="H1071">
        <v>2.2811157207167443</v>
      </c>
      <c r="I1071">
        <v>23.8719929098081</v>
      </c>
      <c r="J1071">
        <v>1.6603004405754022E-2</v>
      </c>
      <c r="K1071">
        <v>2.6086399058437504</v>
      </c>
      <c r="L1071">
        <v>0.13185675827959684</v>
      </c>
      <c r="M1071">
        <v>0.60894459467461459</v>
      </c>
      <c r="N1071">
        <v>0.37948630474928463</v>
      </c>
      <c r="O1071">
        <v>12.942197678302989</v>
      </c>
      <c r="P1071" s="3">
        <v>69.956975712511692</v>
      </c>
      <c r="Q1071" s="3">
        <v>12.16721835630972</v>
      </c>
    </row>
    <row r="1072" spans="1:17" x14ac:dyDescent="0.3">
      <c r="A1072" s="5" t="s">
        <v>414</v>
      </c>
      <c r="B1072" s="22" t="s">
        <v>151</v>
      </c>
      <c r="C1072" s="21" t="s">
        <v>152</v>
      </c>
      <c r="D1072" s="24">
        <v>5</v>
      </c>
      <c r="E1072" t="s">
        <v>352</v>
      </c>
      <c r="F1072">
        <v>0.15579147775859564</v>
      </c>
      <c r="G1072">
        <v>10.643689211988884</v>
      </c>
      <c r="H1072">
        <v>4.0541407008562098</v>
      </c>
      <c r="I1072">
        <v>22.806237205199476</v>
      </c>
      <c r="J1072">
        <v>1.6603004405754022E-2</v>
      </c>
      <c r="K1072">
        <v>4.1166481801808219</v>
      </c>
      <c r="L1072">
        <v>0.22775258248293997</v>
      </c>
      <c r="M1072">
        <v>0.51315555731006846</v>
      </c>
      <c r="N1072">
        <v>0.37948630474928463</v>
      </c>
      <c r="O1072">
        <v>12.872239853014865</v>
      </c>
      <c r="P1072" s="3">
        <v>65.515843597811084</v>
      </c>
      <c r="Q1072" s="3">
        <v>6.1634843225491629</v>
      </c>
    </row>
    <row r="1073" spans="1:17" x14ac:dyDescent="0.3">
      <c r="A1073" s="5" t="s">
        <v>415</v>
      </c>
      <c r="B1073" s="22" t="s">
        <v>151</v>
      </c>
      <c r="C1073" s="21" t="s">
        <v>152</v>
      </c>
      <c r="D1073" s="24">
        <v>5</v>
      </c>
      <c r="E1073" t="s">
        <v>352</v>
      </c>
      <c r="F1073">
        <v>0.12611691056648219</v>
      </c>
      <c r="G1073">
        <v>10.028586492655814</v>
      </c>
      <c r="H1073">
        <v>3.7312913761143962</v>
      </c>
      <c r="I1073">
        <v>23.156814739610208</v>
      </c>
      <c r="J1073">
        <v>3.3206008811508043E-2</v>
      </c>
      <c r="K1073">
        <v>3.9951498831963188</v>
      </c>
      <c r="L1073">
        <v>0.21576560445752208</v>
      </c>
      <c r="M1073">
        <v>0.51999763140753608</v>
      </c>
      <c r="N1073">
        <v>0.39497554167782684</v>
      </c>
      <c r="O1073">
        <v>13.447448638717221</v>
      </c>
      <c r="P1073" s="3">
        <v>63.147462138077962</v>
      </c>
      <c r="Q1073" s="3">
        <v>6.7440814693789184</v>
      </c>
    </row>
    <row r="1074" spans="1:17" x14ac:dyDescent="0.3">
      <c r="A1074" s="5" t="s">
        <v>417</v>
      </c>
      <c r="B1074" s="22" t="s">
        <v>151</v>
      </c>
      <c r="C1074" s="21" t="s">
        <v>152</v>
      </c>
      <c r="D1074" s="24">
        <v>5</v>
      </c>
      <c r="E1074" t="s">
        <v>352</v>
      </c>
      <c r="F1074">
        <v>0.18546604495070909</v>
      </c>
      <c r="G1074">
        <v>10.149194868995632</v>
      </c>
      <c r="H1074">
        <v>3.2020301880130635</v>
      </c>
      <c r="I1074">
        <v>23.367161260256648</v>
      </c>
      <c r="J1074">
        <v>0.11622103084027817</v>
      </c>
      <c r="K1074">
        <v>4.1380890561192638</v>
      </c>
      <c r="L1074">
        <v>0.37159631878795468</v>
      </c>
      <c r="M1074">
        <v>0.55420800189487396</v>
      </c>
      <c r="N1074">
        <v>0.39497554167782684</v>
      </c>
      <c r="O1074">
        <v>14.061522882912978</v>
      </c>
      <c r="P1074" s="3">
        <v>62.383313617446419</v>
      </c>
      <c r="Q1074" s="3">
        <v>8.2413540006002854</v>
      </c>
    </row>
    <row r="1075" spans="1:17" x14ac:dyDescent="0.3">
      <c r="A1075" s="5" t="s">
        <v>418</v>
      </c>
      <c r="B1075" s="22" t="s">
        <v>151</v>
      </c>
      <c r="C1075" s="21" t="s">
        <v>152</v>
      </c>
      <c r="D1075" s="24">
        <v>5</v>
      </c>
      <c r="E1075" t="s">
        <v>352</v>
      </c>
      <c r="F1075">
        <v>0.13353555236451053</v>
      </c>
      <c r="G1075">
        <v>11.047727272727272</v>
      </c>
      <c r="H1075">
        <v>3.3766863800865035</v>
      </c>
      <c r="I1075">
        <v>23.082024865602587</v>
      </c>
      <c r="J1075">
        <v>1.6603004405754022E-2</v>
      </c>
      <c r="K1075">
        <v>3.4948627779660106</v>
      </c>
      <c r="L1075">
        <v>0.15583071433043263</v>
      </c>
      <c r="M1075">
        <v>0.58157629828474422</v>
      </c>
      <c r="N1075">
        <v>0.37948630474928463</v>
      </c>
      <c r="O1075">
        <v>13.268667529647569</v>
      </c>
      <c r="P1075" s="3">
        <v>65.672132945757696</v>
      </c>
      <c r="Q1075" s="3">
        <v>8.2043170134950714</v>
      </c>
    </row>
    <row r="1076" spans="1:17" x14ac:dyDescent="0.3">
      <c r="A1076" s="5" t="s">
        <v>419</v>
      </c>
      <c r="B1076" s="22" t="s">
        <v>151</v>
      </c>
      <c r="C1076" s="21" t="s">
        <v>152</v>
      </c>
      <c r="D1076" s="24">
        <v>5</v>
      </c>
      <c r="E1076" t="s">
        <v>352</v>
      </c>
      <c r="F1076">
        <v>0.15579147775859564</v>
      </c>
      <c r="G1076">
        <v>10.583385023818975</v>
      </c>
      <c r="H1076">
        <v>3.4454903345396768</v>
      </c>
      <c r="I1076">
        <v>23.166163473861161</v>
      </c>
      <c r="J1076">
        <v>2.4904506608631034E-2</v>
      </c>
      <c r="K1076">
        <v>4.1023542628885279</v>
      </c>
      <c r="L1076">
        <v>0.2037786264321042</v>
      </c>
      <c r="M1076">
        <v>0.54736592779740645</v>
      </c>
      <c r="N1076">
        <v>0.4104647786063691</v>
      </c>
      <c r="O1076">
        <v>13.369717721730416</v>
      </c>
      <c r="P1076" s="3">
        <v>64.524231471308141</v>
      </c>
      <c r="Q1076" s="3">
        <v>7.6160122135854795</v>
      </c>
    </row>
    <row r="1077" spans="1:17" x14ac:dyDescent="0.3">
      <c r="A1077" s="5" t="s">
        <v>420</v>
      </c>
      <c r="B1077" s="22" t="s">
        <v>151</v>
      </c>
      <c r="C1077" s="21" t="s">
        <v>152</v>
      </c>
      <c r="D1077" s="24">
        <v>5</v>
      </c>
      <c r="E1077" t="s">
        <v>352</v>
      </c>
      <c r="F1077">
        <v>0.15579147775859564</v>
      </c>
      <c r="G1077">
        <v>10.661780468439856</v>
      </c>
      <c r="H1077">
        <v>3.7365839879954095</v>
      </c>
      <c r="I1077">
        <v>23.212907145115924</v>
      </c>
      <c r="J1077">
        <v>1.6603004405754022E-2</v>
      </c>
      <c r="K1077">
        <v>4.0594725110116441</v>
      </c>
      <c r="L1077">
        <v>0.25172653853377575</v>
      </c>
      <c r="M1077">
        <v>0.54052385369993883</v>
      </c>
      <c r="N1077">
        <v>0.4104647786063691</v>
      </c>
      <c r="O1077">
        <v>12.817828211124102</v>
      </c>
      <c r="P1077" s="3">
        <v>65.649790743804914</v>
      </c>
      <c r="Q1077" s="3">
        <v>6.9824706497281577</v>
      </c>
    </row>
    <row r="1078" spans="1:17" x14ac:dyDescent="0.3">
      <c r="A1078" s="5" t="s">
        <v>497</v>
      </c>
      <c r="B1078" s="22" t="s">
        <v>151</v>
      </c>
      <c r="C1078" s="21" t="s">
        <v>152</v>
      </c>
      <c r="D1078" s="24">
        <v>5</v>
      </c>
      <c r="E1078" t="s">
        <v>352</v>
      </c>
      <c r="F1078">
        <v>0.17804740315268072</v>
      </c>
      <c r="G1078">
        <v>9.968282304485907</v>
      </c>
      <c r="H1078">
        <v>3.4454903345396768</v>
      </c>
      <c r="I1078">
        <v>23.222255879366877</v>
      </c>
      <c r="J1078">
        <v>8.3015022028770109E-3</v>
      </c>
      <c r="K1078">
        <v>4.4168204433190068</v>
      </c>
      <c r="L1078">
        <v>0.21576560445752208</v>
      </c>
      <c r="M1078">
        <v>0.61578666877208221</v>
      </c>
      <c r="N1078">
        <v>0.40272016014209799</v>
      </c>
      <c r="O1078">
        <v>14.189778895941204</v>
      </c>
      <c r="P1078" s="3">
        <v>61.746075885727493</v>
      </c>
      <c r="Q1078" s="3">
        <v>8.487215320854963</v>
      </c>
    </row>
    <row r="1079" spans="1:17" x14ac:dyDescent="0.3">
      <c r="A1079" s="5" t="s">
        <v>421</v>
      </c>
      <c r="B1079" s="22" t="s">
        <v>151</v>
      </c>
      <c r="C1079" s="21" t="s">
        <v>152</v>
      </c>
      <c r="D1079" s="24">
        <v>5</v>
      </c>
      <c r="E1079" t="s">
        <v>352</v>
      </c>
      <c r="F1079">
        <v>0.43769986608367345</v>
      </c>
      <c r="G1079">
        <v>8.6777726776498607</v>
      </c>
      <c r="H1079">
        <v>4.4140383087651154</v>
      </c>
      <c r="I1079">
        <v>22.577193216051128</v>
      </c>
      <c r="J1079">
        <v>4.9809013217262069E-2</v>
      </c>
      <c r="K1079">
        <v>5.0743406387645553</v>
      </c>
      <c r="L1079">
        <v>0.31765491767357418</v>
      </c>
      <c r="M1079">
        <v>0.44473481633539269</v>
      </c>
      <c r="N1079">
        <v>0.42595401553491136</v>
      </c>
      <c r="O1079">
        <v>13.851649407048605</v>
      </c>
      <c r="P1079" s="3">
        <v>59.007089993265261</v>
      </c>
      <c r="Q1079" s="3">
        <v>4.9686252989821869</v>
      </c>
    </row>
    <row r="1080" spans="1:17" x14ac:dyDescent="0.3">
      <c r="A1080" s="5" t="s">
        <v>422</v>
      </c>
      <c r="B1080" s="22" t="s">
        <v>151</v>
      </c>
      <c r="C1080" s="21" t="s">
        <v>152</v>
      </c>
      <c r="D1080" s="24">
        <v>5</v>
      </c>
      <c r="E1080" t="s">
        <v>352</v>
      </c>
      <c r="F1080">
        <v>0.19288468674873746</v>
      </c>
      <c r="G1080">
        <v>9.6124875942834453</v>
      </c>
      <c r="H1080">
        <v>4.2658451760967431</v>
      </c>
      <c r="I1080">
        <v>22.661331824309705</v>
      </c>
      <c r="J1080">
        <v>1.6603004405754022E-2</v>
      </c>
      <c r="K1080">
        <v>4.6955518305187507</v>
      </c>
      <c r="L1080">
        <v>0.29967445063544734</v>
      </c>
      <c r="M1080">
        <v>0.57473422418727671</v>
      </c>
      <c r="N1080">
        <v>0.39497554167782684</v>
      </c>
      <c r="O1080">
        <v>14.022657424419576</v>
      </c>
      <c r="P1080" s="3">
        <v>61.165791276498368</v>
      </c>
      <c r="Q1080" s="3">
        <v>6.5345723434344976</v>
      </c>
    </row>
    <row r="1081" spans="1:17" x14ac:dyDescent="0.3">
      <c r="A1081" s="5" t="s">
        <v>423</v>
      </c>
      <c r="B1081" s="22" t="s">
        <v>151</v>
      </c>
      <c r="C1081" s="21" t="s">
        <v>152</v>
      </c>
      <c r="D1081" s="24">
        <v>5</v>
      </c>
      <c r="E1081" t="s">
        <v>352</v>
      </c>
      <c r="F1081">
        <v>0.2596524629309927</v>
      </c>
      <c r="G1081">
        <v>7.3752022131798327</v>
      </c>
      <c r="H1081">
        <v>5.4037567305146084</v>
      </c>
      <c r="I1081">
        <v>22.343474859777309</v>
      </c>
      <c r="J1081">
        <v>2.4904506608631034E-2</v>
      </c>
      <c r="K1081">
        <v>5.731860834210103</v>
      </c>
      <c r="L1081">
        <v>0.49146609904213362</v>
      </c>
      <c r="M1081">
        <v>0.47210311272526295</v>
      </c>
      <c r="N1081">
        <v>0.40272016014209799</v>
      </c>
      <c r="O1081">
        <v>14.248077083681308</v>
      </c>
      <c r="P1081" s="3">
        <v>54.324152539700719</v>
      </c>
      <c r="Q1081" s="3">
        <v>4.3369985803749982</v>
      </c>
    </row>
    <row r="1082" spans="1:17" x14ac:dyDescent="0.3">
      <c r="A1082" s="5" t="s">
        <v>498</v>
      </c>
      <c r="B1082" s="22" t="s">
        <v>151</v>
      </c>
      <c r="C1082" s="21" t="s">
        <v>152</v>
      </c>
      <c r="D1082" s="24">
        <v>5</v>
      </c>
      <c r="E1082" t="s">
        <v>352</v>
      </c>
      <c r="F1082">
        <v>0.17062876135465238</v>
      </c>
      <c r="G1082">
        <v>8.0626699583167909</v>
      </c>
      <c r="H1082">
        <v>4.4405013681701826</v>
      </c>
      <c r="I1082">
        <v>23.226930246492351</v>
      </c>
      <c r="J1082">
        <v>2.4904506608631034E-2</v>
      </c>
      <c r="K1082">
        <v>5.5817747026410105</v>
      </c>
      <c r="L1082">
        <v>0.28768747261002942</v>
      </c>
      <c r="M1082">
        <v>0.37631407536071693</v>
      </c>
      <c r="N1082">
        <v>0.44918787092772461</v>
      </c>
      <c r="O1082">
        <v>13.921607232336729</v>
      </c>
      <c r="P1082" s="3">
        <v>57.094323384373055</v>
      </c>
      <c r="Q1082" s="3">
        <v>4.2124217885609152</v>
      </c>
    </row>
    <row r="1083" spans="1:17" x14ac:dyDescent="0.3">
      <c r="A1083" t="s">
        <v>506</v>
      </c>
      <c r="B1083" s="19" t="s">
        <v>507</v>
      </c>
      <c r="C1083" s="21" t="s">
        <v>508</v>
      </c>
      <c r="D1083" s="24">
        <v>6</v>
      </c>
      <c r="E1083" t="s">
        <v>525</v>
      </c>
      <c r="F1083">
        <v>0.60832862743832583</v>
      </c>
      <c r="G1083">
        <v>6.5852173481540293</v>
      </c>
      <c r="H1083">
        <v>0.92091446729631909</v>
      </c>
      <c r="I1083">
        <v>23.147466005359256</v>
      </c>
      <c r="J1083">
        <v>0.3569645947237115</v>
      </c>
      <c r="K1083">
        <v>11.327929454143408</v>
      </c>
      <c r="L1083">
        <v>0.20977211544481314</v>
      </c>
      <c r="M1083">
        <v>9.8320604780609111E-2</v>
      </c>
      <c r="N1083">
        <v>0.51888943710616475</v>
      </c>
      <c r="O1083">
        <v>15.312990646400534</v>
      </c>
      <c r="P1083" s="3">
        <v>49.700596495990233</v>
      </c>
      <c r="Q1083" s="3">
        <v>5.2494200462727347</v>
      </c>
    </row>
    <row r="1084" spans="1:17" x14ac:dyDescent="0.3">
      <c r="A1084" t="s">
        <v>510</v>
      </c>
      <c r="B1084" s="19" t="s">
        <v>511</v>
      </c>
      <c r="C1084" s="21" t="s">
        <v>512</v>
      </c>
      <c r="D1084" s="24">
        <v>6</v>
      </c>
      <c r="E1084" t="s">
        <v>525</v>
      </c>
      <c r="F1084">
        <v>0.26707110472902107</v>
      </c>
      <c r="G1084">
        <v>7.7792402739182211</v>
      </c>
      <c r="H1084">
        <v>0.82035484155706595</v>
      </c>
      <c r="I1084">
        <v>21.922781818484431</v>
      </c>
      <c r="J1084">
        <v>7.4713519825893096E-2</v>
      </c>
      <c r="K1084">
        <v>9.5769245858373306</v>
      </c>
      <c r="L1084">
        <v>0.19778513741939527</v>
      </c>
      <c r="M1084">
        <v>0.11768367447644236</v>
      </c>
      <c r="N1084">
        <v>0.61182485867741809</v>
      </c>
      <c r="O1084">
        <v>17.644918156004675</v>
      </c>
      <c r="P1084" s="3">
        <v>50.322714743710179</v>
      </c>
      <c r="Q1084" s="3">
        <v>6.9284431230908812</v>
      </c>
    </row>
    <row r="1085" spans="1:17" x14ac:dyDescent="0.3">
      <c r="A1085" t="s">
        <v>510</v>
      </c>
      <c r="B1085" s="19" t="s">
        <v>500</v>
      </c>
      <c r="C1085" s="21" t="s">
        <v>501</v>
      </c>
      <c r="D1085" s="24">
        <v>6</v>
      </c>
      <c r="E1085" t="s">
        <v>525</v>
      </c>
      <c r="F1085">
        <v>0.29674567192113455</v>
      </c>
      <c r="G1085">
        <v>7.7792402739182211</v>
      </c>
      <c r="H1085">
        <v>1.3072751346102922</v>
      </c>
      <c r="I1085">
        <v>21.922781818484431</v>
      </c>
      <c r="J1085">
        <v>9.1316524231647128E-2</v>
      </c>
      <c r="K1085">
        <v>9.5769245858373306</v>
      </c>
      <c r="L1085">
        <v>0.25172653853377575</v>
      </c>
      <c r="M1085">
        <v>0.128</v>
      </c>
      <c r="N1085">
        <v>0.38723092321355573</v>
      </c>
      <c r="O1085">
        <v>16.789878069149825</v>
      </c>
      <c r="P1085" s="3">
        <v>51.563999078645601</v>
      </c>
      <c r="Q1085" s="3">
        <v>4.8352960822144029</v>
      </c>
    </row>
    <row r="1086" spans="1:17" x14ac:dyDescent="0.3">
      <c r="A1086" t="s">
        <v>513</v>
      </c>
      <c r="B1086" s="19" t="s">
        <v>514</v>
      </c>
      <c r="C1086" s="21" t="s">
        <v>515</v>
      </c>
      <c r="D1086" s="24">
        <v>6</v>
      </c>
      <c r="E1086" t="s">
        <v>525</v>
      </c>
      <c r="F1086">
        <v>0.71218961261072289</v>
      </c>
      <c r="G1086">
        <v>5.5841678245335444</v>
      </c>
      <c r="H1086">
        <v>2.1646782593344511</v>
      </c>
      <c r="I1086">
        <v>23.138117271108303</v>
      </c>
      <c r="J1086">
        <v>0.16603004405754024</v>
      </c>
      <c r="K1086">
        <v>10.291620450452056</v>
      </c>
      <c r="L1086">
        <v>0.40755725286420841</v>
      </c>
      <c r="M1086">
        <v>8.8946963267078544E-2</v>
      </c>
      <c r="N1086">
        <v>0.35625244935647127</v>
      </c>
      <c r="O1086">
        <v>14.846605144479707</v>
      </c>
      <c r="P1086" s="3">
        <v>46.358013979188804</v>
      </c>
      <c r="Q1086" s="3">
        <v>2.0877524063462092</v>
      </c>
    </row>
    <row r="1087" spans="1:17" x14ac:dyDescent="0.3">
      <c r="A1087" t="s">
        <v>513</v>
      </c>
      <c r="B1087" s="19" t="s">
        <v>516</v>
      </c>
      <c r="C1087" s="21" t="s">
        <v>502</v>
      </c>
      <c r="D1087" s="24">
        <v>6</v>
      </c>
      <c r="E1087" t="s">
        <v>525</v>
      </c>
      <c r="F1087">
        <v>0.74928282160086479</v>
      </c>
      <c r="G1087">
        <v>5.6263807562524812</v>
      </c>
      <c r="H1087">
        <v>1.9000476652837848</v>
      </c>
      <c r="I1087">
        <v>22.99788625734401</v>
      </c>
      <c r="J1087">
        <v>0.24074356388343332</v>
      </c>
      <c r="K1087">
        <v>10.720437969220892</v>
      </c>
      <c r="L1087">
        <v>4.1954423088962634E-2</v>
      </c>
      <c r="M1087">
        <v>0.13</v>
      </c>
      <c r="N1087">
        <v>0.34850783089220017</v>
      </c>
      <c r="O1087">
        <v>14.947655336562553</v>
      </c>
      <c r="P1087" s="3">
        <v>46.376608845118561</v>
      </c>
      <c r="Q1087" s="3">
        <v>3.4287125761676807</v>
      </c>
    </row>
    <row r="1088" spans="1:17" x14ac:dyDescent="0.3">
      <c r="A1088" t="s">
        <v>517</v>
      </c>
      <c r="B1088" s="19" t="s">
        <v>518</v>
      </c>
      <c r="C1088" s="21" t="s">
        <v>519</v>
      </c>
      <c r="D1088" s="24">
        <v>6</v>
      </c>
      <c r="E1088" t="s">
        <v>525</v>
      </c>
      <c r="F1088">
        <v>0.31158295551719128</v>
      </c>
      <c r="G1088">
        <v>7.5199322647876139</v>
      </c>
      <c r="H1088">
        <v>0.76742872274693252</v>
      </c>
      <c r="I1088">
        <v>22.549147013298274</v>
      </c>
      <c r="J1088">
        <v>8.3015022028770119E-2</v>
      </c>
      <c r="K1088">
        <v>10.77761363839007</v>
      </c>
      <c r="L1088">
        <v>0.17381118136855944</v>
      </c>
      <c r="M1088">
        <v>0.11699946706669562</v>
      </c>
      <c r="N1088">
        <v>0.4182093970706402</v>
      </c>
      <c r="O1088">
        <v>16.035888174377817</v>
      </c>
      <c r="P1088" s="3">
        <v>51.864780033324728</v>
      </c>
      <c r="Q1088" s="3">
        <v>7.3313331010646285</v>
      </c>
    </row>
    <row r="1089" spans="1:17" x14ac:dyDescent="0.3">
      <c r="A1089" t="s">
        <v>517</v>
      </c>
      <c r="B1089" s="19" t="s">
        <v>520</v>
      </c>
      <c r="C1089" s="21" t="s">
        <v>502</v>
      </c>
      <c r="D1089" s="24">
        <v>6</v>
      </c>
      <c r="E1089" t="s">
        <v>525</v>
      </c>
      <c r="F1089">
        <v>0.41989512576840532</v>
      </c>
      <c r="G1089">
        <v>7.1279550416832071</v>
      </c>
      <c r="H1089">
        <v>0.86798834848618578</v>
      </c>
      <c r="I1089">
        <v>23.058653029975201</v>
      </c>
      <c r="J1089">
        <v>0.13780493656775838</v>
      </c>
      <c r="K1089">
        <v>10.220150863990584</v>
      </c>
      <c r="L1089">
        <v>0.20977211544481314</v>
      </c>
      <c r="M1089">
        <v>0.17099999999999999</v>
      </c>
      <c r="N1089">
        <v>0.42595401553491136</v>
      </c>
      <c r="O1089">
        <v>16.867608986136627</v>
      </c>
      <c r="P1089" s="3">
        <v>49.263231670849002</v>
      </c>
      <c r="Q1089" s="3">
        <v>9.2749898552900838</v>
      </c>
    </row>
    <row r="1090" spans="1:17" x14ac:dyDescent="0.3">
      <c r="A1090" t="s">
        <v>517</v>
      </c>
      <c r="B1090" s="19" t="s">
        <v>521</v>
      </c>
      <c r="C1090" s="21" t="s">
        <v>502</v>
      </c>
      <c r="D1090" s="24">
        <v>6</v>
      </c>
      <c r="E1090" t="s">
        <v>525</v>
      </c>
      <c r="F1090">
        <v>0.29674567192113455</v>
      </c>
      <c r="G1090">
        <v>7.2365025803890433</v>
      </c>
      <c r="H1090">
        <v>0.92091446729631909</v>
      </c>
      <c r="I1090">
        <v>23.311068854750928</v>
      </c>
      <c r="J1090">
        <v>0.11622103084027817</v>
      </c>
      <c r="K1090">
        <v>10.841936266205396</v>
      </c>
      <c r="L1090">
        <v>0.22775258248293997</v>
      </c>
      <c r="M1090">
        <v>0.23</v>
      </c>
      <c r="N1090">
        <v>6.9701566178440033E-2</v>
      </c>
      <c r="O1090">
        <v>16.160257641556704</v>
      </c>
      <c r="P1090" s="3">
        <v>50.711975124281182</v>
      </c>
      <c r="Q1090" s="3">
        <v>11.473268873517831</v>
      </c>
    </row>
    <row r="1091" spans="1:17" x14ac:dyDescent="0.3">
      <c r="A1091" t="s">
        <v>517</v>
      </c>
      <c r="B1091" s="19" t="s">
        <v>500</v>
      </c>
      <c r="C1091" s="21" t="s">
        <v>501</v>
      </c>
      <c r="D1091" s="24">
        <v>6</v>
      </c>
      <c r="E1091" t="s">
        <v>525</v>
      </c>
      <c r="F1091">
        <v>0.34125752270930476</v>
      </c>
      <c r="G1091">
        <v>7.2968067685589517</v>
      </c>
      <c r="H1091">
        <v>0.88915879601023906</v>
      </c>
      <c r="I1091">
        <v>22.717424229815425</v>
      </c>
      <c r="J1091">
        <v>0.10791952863740115</v>
      </c>
      <c r="K1091">
        <v>10.506029209836473</v>
      </c>
      <c r="L1091">
        <v>0.2037786264321042</v>
      </c>
      <c r="M1091">
        <v>0.17700000000000002</v>
      </c>
      <c r="N1091">
        <v>0.37948630474928463</v>
      </c>
      <c r="O1091">
        <v>16.012568899281778</v>
      </c>
      <c r="P1091" s="3">
        <v>51.148816751107397</v>
      </c>
      <c r="Q1091" s="3">
        <v>9.3627780042585673</v>
      </c>
    </row>
    <row r="1092" spans="1:17" x14ac:dyDescent="0.3">
      <c r="A1092" t="s">
        <v>522</v>
      </c>
      <c r="B1092" s="19" t="s">
        <v>523</v>
      </c>
      <c r="C1092" s="21" t="s">
        <v>524</v>
      </c>
      <c r="D1092" s="24">
        <v>6</v>
      </c>
      <c r="E1092" t="s">
        <v>525</v>
      </c>
      <c r="F1092">
        <v>0.69735232901466615</v>
      </c>
      <c r="G1092">
        <v>6.2173618003175859</v>
      </c>
      <c r="H1092">
        <v>1.709513637567305</v>
      </c>
      <c r="I1092">
        <v>23.838384210175921</v>
      </c>
      <c r="J1092">
        <v>0.26564807049206435</v>
      </c>
      <c r="K1092">
        <v>9.3410749505144697</v>
      </c>
      <c r="L1092">
        <v>0.36560282977524577</v>
      </c>
      <c r="M1092">
        <v>0.10393110554053255</v>
      </c>
      <c r="N1092">
        <v>0.4104647786063691</v>
      </c>
      <c r="O1092">
        <v>15.421813930182061</v>
      </c>
      <c r="P1092" s="3">
        <v>48.08744805540065</v>
      </c>
      <c r="Q1092" s="3">
        <v>3.0583527485837312</v>
      </c>
    </row>
    <row r="1093" spans="1:17" x14ac:dyDescent="0.3">
      <c r="A1093" t="s">
        <v>526</v>
      </c>
      <c r="B1093" s="19" t="s">
        <v>527</v>
      </c>
      <c r="C1093" s="21" t="s">
        <v>528</v>
      </c>
      <c r="D1093" s="24">
        <v>6</v>
      </c>
      <c r="E1093" t="s">
        <v>525</v>
      </c>
      <c r="F1093">
        <v>0.59349134384226909</v>
      </c>
      <c r="G1093">
        <v>7.0555900158793161</v>
      </c>
      <c r="H1093">
        <v>1.4819313266837317</v>
      </c>
      <c r="I1093">
        <v>22.951142586089247</v>
      </c>
      <c r="J1093">
        <v>0.24904506608631033</v>
      </c>
      <c r="K1093">
        <v>10.005742104606165</v>
      </c>
      <c r="L1093">
        <v>0.29967445063544734</v>
      </c>
      <c r="M1093">
        <v>1.8473600063162485</v>
      </c>
      <c r="N1093">
        <v>0.38723092321355573</v>
      </c>
      <c r="O1093">
        <v>13.680641389677636</v>
      </c>
      <c r="P1093" s="3">
        <v>54.233249449715373</v>
      </c>
      <c r="Q1093" s="3">
        <v>39.279337971323699</v>
      </c>
    </row>
    <row r="1094" spans="1:17" x14ac:dyDescent="0.3">
      <c r="A1094" t="s">
        <v>529</v>
      </c>
      <c r="B1094" s="19" t="s">
        <v>530</v>
      </c>
      <c r="C1094" s="21" t="s">
        <v>531</v>
      </c>
      <c r="D1094" s="24">
        <v>6</v>
      </c>
      <c r="E1094" t="s">
        <v>509</v>
      </c>
      <c r="F1094">
        <v>0.52672356766001382</v>
      </c>
      <c r="G1094">
        <v>6.1510271933306857</v>
      </c>
      <c r="H1094">
        <v>1.0585223762026656</v>
      </c>
      <c r="I1094">
        <v>22.249987517267783</v>
      </c>
      <c r="J1094">
        <v>0.13282403524603217</v>
      </c>
      <c r="K1094">
        <v>10.220150863990584</v>
      </c>
      <c r="L1094">
        <v>0.24573304952106681</v>
      </c>
      <c r="M1094">
        <v>0.21</v>
      </c>
      <c r="N1094">
        <v>0.40272016014209799</v>
      </c>
      <c r="O1094">
        <v>17.411725405044262</v>
      </c>
      <c r="P1094" s="3">
        <v>44.803164356673889</v>
      </c>
      <c r="Q1094" s="3">
        <v>9.3340022208775295</v>
      </c>
    </row>
    <row r="1095" spans="1:17" x14ac:dyDescent="0.3">
      <c r="A1095" t="s">
        <v>532</v>
      </c>
      <c r="B1095" s="19" t="s">
        <v>533</v>
      </c>
      <c r="C1095" s="21" t="s">
        <v>502</v>
      </c>
      <c r="D1095" s="24">
        <v>6</v>
      </c>
      <c r="E1095" t="s">
        <v>509</v>
      </c>
      <c r="F1095">
        <v>0.48963035866987203</v>
      </c>
      <c r="G1095">
        <v>6.6877344680428736</v>
      </c>
      <c r="H1095">
        <v>1.0373519286786124</v>
      </c>
      <c r="I1095">
        <v>22.600565051678515</v>
      </c>
      <c r="J1095">
        <v>0.14112553744890921</v>
      </c>
      <c r="K1095">
        <v>10.648968382759419</v>
      </c>
      <c r="L1095">
        <v>0.28169398359732051</v>
      </c>
      <c r="M1095">
        <v>0.18474000000000002</v>
      </c>
      <c r="N1095">
        <v>0.45693248939199577</v>
      </c>
      <c r="O1095">
        <v>16.595550776682813</v>
      </c>
      <c r="P1095" s="3">
        <v>48.076910219589379</v>
      </c>
      <c r="Q1095" s="3">
        <v>8.4596356747167185</v>
      </c>
    </row>
    <row r="1096" spans="1:17" x14ac:dyDescent="0.3">
      <c r="A1096" t="s">
        <v>532</v>
      </c>
      <c r="B1096" s="19" t="s">
        <v>534</v>
      </c>
      <c r="C1096" s="21" t="s">
        <v>502</v>
      </c>
      <c r="D1096" s="24">
        <v>6</v>
      </c>
      <c r="E1096" t="s">
        <v>509</v>
      </c>
      <c r="F1096">
        <v>0.4747930750738153</v>
      </c>
      <c r="G1096">
        <v>6.6937648868598645</v>
      </c>
      <c r="H1096">
        <v>1.0108888692735456</v>
      </c>
      <c r="I1096">
        <v>22.404241632408503</v>
      </c>
      <c r="J1096">
        <v>0.14942703965178619</v>
      </c>
      <c r="K1096">
        <v>10.513176168482621</v>
      </c>
      <c r="L1096">
        <v>0.28169398359732051</v>
      </c>
      <c r="M1096">
        <v>0.16419999999999998</v>
      </c>
      <c r="N1096">
        <v>0.45693248939199577</v>
      </c>
      <c r="O1096">
        <v>16.875382077835312</v>
      </c>
      <c r="P1096" s="3">
        <v>47.68212519240425</v>
      </c>
      <c r="Q1096" s="3">
        <v>7.7737156861567067</v>
      </c>
    </row>
    <row r="1097" spans="1:17" x14ac:dyDescent="0.3">
      <c r="A1097" t="s">
        <v>532</v>
      </c>
      <c r="B1097" s="19" t="s">
        <v>534</v>
      </c>
      <c r="C1097" s="21" t="s">
        <v>502</v>
      </c>
      <c r="D1097" s="24">
        <v>6</v>
      </c>
      <c r="E1097" t="s">
        <v>509</v>
      </c>
      <c r="F1097">
        <v>0.50446764226592877</v>
      </c>
      <c r="G1097">
        <v>6.6817040492258828</v>
      </c>
      <c r="H1097">
        <v>1.0638149880836789</v>
      </c>
      <c r="I1097">
        <v>22.796888470948524</v>
      </c>
      <c r="J1097">
        <v>0.13282403524603217</v>
      </c>
      <c r="K1097">
        <v>10.77761363839007</v>
      </c>
      <c r="L1097">
        <v>0.27570049458461154</v>
      </c>
      <c r="M1097">
        <v>0.19149999999999998</v>
      </c>
      <c r="N1097">
        <v>0.44918787092772461</v>
      </c>
      <c r="O1097">
        <v>16.447862034407883</v>
      </c>
      <c r="P1097" s="3">
        <v>48.277568238247113</v>
      </c>
      <c r="Q1097" s="3">
        <v>8.5432414612467369</v>
      </c>
    </row>
    <row r="1098" spans="1:17" x14ac:dyDescent="0.3">
      <c r="A1098" t="s">
        <v>535</v>
      </c>
      <c r="B1098" s="19" t="s">
        <v>504</v>
      </c>
      <c r="C1098" s="21" t="s">
        <v>505</v>
      </c>
      <c r="D1098" s="24">
        <v>6</v>
      </c>
      <c r="E1098" t="s">
        <v>509</v>
      </c>
      <c r="F1098">
        <v>0.29648425234697079</v>
      </c>
      <c r="G1098">
        <v>7.4197798077822341</v>
      </c>
      <c r="H1098">
        <v>0.75146924291352868</v>
      </c>
      <c r="I1098">
        <v>23.700437997475905</v>
      </c>
      <c r="J1098">
        <v>3.7717156818431137E-2</v>
      </c>
      <c r="K1098">
        <v>10.135196993221276</v>
      </c>
      <c r="L1098">
        <v>0.19629093502110914</v>
      </c>
      <c r="M1098">
        <v>0.9019048537261386</v>
      </c>
      <c r="N1098">
        <v>0.38383743744839427</v>
      </c>
      <c r="O1098">
        <v>15.637441215184326</v>
      </c>
      <c r="P1098" s="3">
        <v>52.158137534103027</v>
      </c>
      <c r="Q1098" s="3">
        <v>38.378390342290814</v>
      </c>
    </row>
    <row r="1099" spans="1:17" x14ac:dyDescent="0.3">
      <c r="A1099" t="s">
        <v>526</v>
      </c>
      <c r="B1099" s="19" t="s">
        <v>504</v>
      </c>
      <c r="C1099" s="21" t="s">
        <v>505</v>
      </c>
      <c r="D1099" s="24">
        <v>6</v>
      </c>
      <c r="E1099" t="s">
        <v>509</v>
      </c>
      <c r="F1099">
        <v>0.57123541844818404</v>
      </c>
      <c r="G1099">
        <v>5.9098104406510519</v>
      </c>
      <c r="H1099">
        <v>1.323152970253332</v>
      </c>
      <c r="I1099">
        <v>26.55040527270609</v>
      </c>
      <c r="J1099">
        <v>0.15772854185466323</v>
      </c>
      <c r="K1099">
        <v>8.147532856607878</v>
      </c>
      <c r="L1099">
        <v>0.31166142866086527</v>
      </c>
      <c r="M1099">
        <v>0.5576892121834609</v>
      </c>
      <c r="N1099">
        <v>0.3097847385708446</v>
      </c>
      <c r="O1099">
        <v>13.447448638717221</v>
      </c>
      <c r="P1099" s="3">
        <v>50.24305474283581</v>
      </c>
      <c r="Q1099" s="3">
        <v>17.946626741229291</v>
      </c>
    </row>
    <row r="1100" spans="1:17" x14ac:dyDescent="0.3">
      <c r="A1100" t="s">
        <v>536</v>
      </c>
      <c r="B1100" s="19" t="s">
        <v>504</v>
      </c>
      <c r="C1100" s="21" t="s">
        <v>505</v>
      </c>
      <c r="D1100" s="24">
        <v>6</v>
      </c>
      <c r="E1100" t="s">
        <v>509</v>
      </c>
      <c r="F1100">
        <v>0.34220230603070778</v>
      </c>
      <c r="G1100">
        <v>7.2073718469334098</v>
      </c>
      <c r="H1100">
        <v>0.96418998550117896</v>
      </c>
      <c r="I1100">
        <v>23.323062986372726</v>
      </c>
      <c r="J1100">
        <v>8.1275130670077744E-2</v>
      </c>
      <c r="K1100">
        <v>9.6311574976509302</v>
      </c>
      <c r="L1100">
        <v>0.176504537931506</v>
      </c>
      <c r="M1100">
        <v>0.70081868519910528</v>
      </c>
      <c r="N1100">
        <v>0.40889728037950512</v>
      </c>
      <c r="O1100">
        <v>16.5973868404778</v>
      </c>
      <c r="P1100" s="3">
        <v>49.943925314249249</v>
      </c>
      <c r="Q1100" s="3">
        <v>27.387786553396275</v>
      </c>
    </row>
    <row r="1101" spans="1:17" x14ac:dyDescent="0.3">
      <c r="A1101" t="s">
        <v>537</v>
      </c>
      <c r="B1101" s="19" t="s">
        <v>504</v>
      </c>
      <c r="C1101" s="21" t="s">
        <v>505</v>
      </c>
      <c r="D1101" s="24">
        <v>6</v>
      </c>
      <c r="E1101" t="s">
        <v>509</v>
      </c>
      <c r="F1101">
        <v>0.37359850055942162</v>
      </c>
      <c r="G1101">
        <v>7.0210080460679185</v>
      </c>
      <c r="H1101">
        <v>0.91455531797950629</v>
      </c>
      <c r="I1101">
        <v>23.354625330761166</v>
      </c>
      <c r="J1101">
        <v>8.7395240256701631E-2</v>
      </c>
      <c r="K1101">
        <v>10.740827764150172</v>
      </c>
      <c r="L1101">
        <v>0.19331378454495976</v>
      </c>
      <c r="M1101">
        <v>0.72918329762960687</v>
      </c>
      <c r="N1101">
        <v>0.3931364325266774</v>
      </c>
      <c r="O1101">
        <v>15.612268087511687</v>
      </c>
      <c r="P1101" s="3">
        <v>50.818619055079282</v>
      </c>
      <c r="Q1101" s="3">
        <v>29.265799116862645</v>
      </c>
    </row>
    <row r="1102" spans="1:17" x14ac:dyDescent="0.3">
      <c r="A1102" t="s">
        <v>538</v>
      </c>
      <c r="B1102" s="19" t="s">
        <v>504</v>
      </c>
      <c r="C1102" s="21" t="s">
        <v>505</v>
      </c>
      <c r="D1102" s="24">
        <v>6</v>
      </c>
      <c r="E1102" t="s">
        <v>509</v>
      </c>
      <c r="F1102">
        <v>0.49166480678779079</v>
      </c>
      <c r="G1102">
        <v>6.8357819218913436</v>
      </c>
      <c r="H1102">
        <v>1.0675865848222859</v>
      </c>
      <c r="I1102">
        <v>23.45455991286817</v>
      </c>
      <c r="J1102">
        <v>0.12658412627350432</v>
      </c>
      <c r="K1102">
        <v>10.690703030674703</v>
      </c>
      <c r="L1102">
        <v>0.20760923415085977</v>
      </c>
      <c r="M1102">
        <v>0.9220555633030425</v>
      </c>
      <c r="N1102">
        <v>0.3868672947555637</v>
      </c>
      <c r="O1102">
        <v>15.35547101284209</v>
      </c>
      <c r="P1102" s="3">
        <v>50.564899475544919</v>
      </c>
      <c r="Q1102" s="3">
        <v>30.948091585276217</v>
      </c>
    </row>
    <row r="1103" spans="1:17" x14ac:dyDescent="0.3">
      <c r="A1103" t="s">
        <v>539</v>
      </c>
      <c r="B1103" s="19" t="s">
        <v>504</v>
      </c>
      <c r="C1103" s="21" t="s">
        <v>505</v>
      </c>
      <c r="D1103" s="24">
        <v>6</v>
      </c>
      <c r="E1103" t="s">
        <v>509</v>
      </c>
      <c r="F1103">
        <v>0.44450626814198607</v>
      </c>
      <c r="G1103">
        <v>6.201192137254262</v>
      </c>
      <c r="H1103">
        <v>1.1272627656395706</v>
      </c>
      <c r="I1103">
        <v>24.296204371822697</v>
      </c>
      <c r="J1103">
        <v>8.5067109019735507E-2</v>
      </c>
      <c r="K1103">
        <v>10.576911653182428</v>
      </c>
      <c r="L1103">
        <v>0.23534267685976726</v>
      </c>
      <c r="M1103">
        <v>0.69250018517955836</v>
      </c>
      <c r="N1103">
        <v>0.37309521445090243</v>
      </c>
      <c r="O1103">
        <v>14.850056361074131</v>
      </c>
      <c r="P1103" s="3">
        <v>48.966042387304036</v>
      </c>
      <c r="Q1103" s="3">
        <v>24.172673184465818</v>
      </c>
    </row>
    <row r="1104" spans="1:17" x14ac:dyDescent="0.3">
      <c r="A1104" t="s">
        <v>532</v>
      </c>
      <c r="B1104" s="19" t="s">
        <v>504</v>
      </c>
      <c r="C1104" s="21" t="s">
        <v>505</v>
      </c>
      <c r="D1104" s="24">
        <v>6</v>
      </c>
      <c r="E1104" t="s">
        <v>509</v>
      </c>
      <c r="F1104">
        <v>0.44957068167414144</v>
      </c>
      <c r="G1104">
        <v>6.3401333122884562</v>
      </c>
      <c r="H1104">
        <v>1.1245603022419914</v>
      </c>
      <c r="I1104">
        <v>23.828124431230098</v>
      </c>
      <c r="J1104">
        <v>0.15419937810995327</v>
      </c>
      <c r="K1104">
        <v>9.7282627324750166</v>
      </c>
      <c r="L1104">
        <v>0.21928414414401007</v>
      </c>
      <c r="M1104">
        <v>0.63614239539014994</v>
      </c>
      <c r="N1104">
        <v>0.3839398556023958</v>
      </c>
      <c r="O1104">
        <v>16.314408004941331</v>
      </c>
      <c r="P1104" s="3">
        <v>47.171748651450024</v>
      </c>
      <c r="Q1104" s="3">
        <v>22.693109118771243</v>
      </c>
    </row>
    <row r="1105" spans="1:17" x14ac:dyDescent="0.3">
      <c r="A1105" t="s">
        <v>540</v>
      </c>
      <c r="B1105" s="19" t="s">
        <v>504</v>
      </c>
      <c r="C1105" s="21" t="s">
        <v>505</v>
      </c>
      <c r="D1105" s="24">
        <v>6</v>
      </c>
      <c r="E1105" t="s">
        <v>525</v>
      </c>
      <c r="F1105">
        <v>0.97156263130764775</v>
      </c>
      <c r="G1105">
        <v>5.5324847228572338</v>
      </c>
      <c r="H1105">
        <v>1.9554626162714082</v>
      </c>
      <c r="I1105">
        <v>23.818212043555835</v>
      </c>
      <c r="J1105">
        <v>0.35230621372234633</v>
      </c>
      <c r="K1105">
        <v>9.3488005993306622</v>
      </c>
      <c r="L1105">
        <v>0.38288340564686868</v>
      </c>
      <c r="M1105">
        <v>0.58042939356306156</v>
      </c>
      <c r="N1105">
        <v>0.35709580543075881</v>
      </c>
      <c r="O1105">
        <v>15.479969410820731</v>
      </c>
      <c r="P1105" s="3">
        <v>45.090570293442475</v>
      </c>
      <c r="Q1105" s="3">
        <v>13.347107191874288</v>
      </c>
    </row>
    <row r="1106" spans="1:17" x14ac:dyDescent="0.3">
      <c r="A1106" t="s">
        <v>541</v>
      </c>
      <c r="B1106" s="19" t="s">
        <v>504</v>
      </c>
      <c r="C1106" s="21" t="s">
        <v>505</v>
      </c>
      <c r="D1106" s="24">
        <v>6</v>
      </c>
      <c r="E1106" t="s">
        <v>509</v>
      </c>
      <c r="F1106">
        <v>0.76611082522656726</v>
      </c>
      <c r="G1106">
        <v>5.7867655771454132</v>
      </c>
      <c r="H1106">
        <v>1.7650392473367835</v>
      </c>
      <c r="I1106">
        <v>24.209661184890543</v>
      </c>
      <c r="J1106">
        <v>0.18985966033046736</v>
      </c>
      <c r="K1106">
        <v>10.355712344987268</v>
      </c>
      <c r="L1106">
        <v>0.36613860084632688</v>
      </c>
      <c r="M1106">
        <v>0.51896863984620456</v>
      </c>
      <c r="N1106">
        <v>0.34620880994578757</v>
      </c>
      <c r="O1106">
        <v>14.246818358226319</v>
      </c>
      <c r="P1106" s="3">
        <v>48.274131170291525</v>
      </c>
      <c r="Q1106" s="3">
        <v>13.237950521979913</v>
      </c>
    </row>
    <row r="1107" spans="1:17" x14ac:dyDescent="0.3">
      <c r="A1107" t="s">
        <v>542</v>
      </c>
      <c r="B1107" s="19" t="s">
        <v>504</v>
      </c>
      <c r="C1107" s="21" t="s">
        <v>505</v>
      </c>
      <c r="D1107" s="24">
        <v>6</v>
      </c>
      <c r="E1107" t="s">
        <v>509</v>
      </c>
      <c r="F1107">
        <v>0.79653408214129162</v>
      </c>
      <c r="G1107">
        <v>5.583410269759483</v>
      </c>
      <c r="H1107">
        <v>1.8639278793660774</v>
      </c>
      <c r="I1107">
        <v>24.087263933365556</v>
      </c>
      <c r="J1107">
        <v>0.23762649810627387</v>
      </c>
      <c r="K1107">
        <v>10.618892167095671</v>
      </c>
      <c r="L1107">
        <v>0.37339064910120984</v>
      </c>
      <c r="M1107">
        <v>0.6379636062982873</v>
      </c>
      <c r="N1107">
        <v>0.33851466278893383</v>
      </c>
      <c r="O1107">
        <v>14.161662643575246</v>
      </c>
      <c r="P1107" s="3">
        <v>47.530988633206</v>
      </c>
      <c r="Q1107" s="3">
        <v>15.082348680368346</v>
      </c>
    </row>
    <row r="1108" spans="1:17" x14ac:dyDescent="0.3">
      <c r="A1108" t="s">
        <v>543</v>
      </c>
      <c r="B1108" s="19" t="s">
        <v>504</v>
      </c>
      <c r="C1108" s="21" t="s">
        <v>505</v>
      </c>
      <c r="D1108" s="24">
        <v>6</v>
      </c>
      <c r="E1108" t="s">
        <v>509</v>
      </c>
      <c r="F1108">
        <v>0.82436983762119709</v>
      </c>
      <c r="G1108">
        <v>5.8439728285177264</v>
      </c>
      <c r="H1108">
        <v>1.9222974058767566</v>
      </c>
      <c r="I1108">
        <v>23.135989178714439</v>
      </c>
      <c r="J1108">
        <v>0.2493000276696567</v>
      </c>
      <c r="K1108">
        <v>10.245532202734173</v>
      </c>
      <c r="L1108">
        <v>0.39644072884168824</v>
      </c>
      <c r="M1108">
        <v>0.51163974821970482</v>
      </c>
      <c r="N1108">
        <v>0.37168502571703643</v>
      </c>
      <c r="O1108">
        <v>15.588377961307497</v>
      </c>
      <c r="P1108" s="3">
        <v>46.276484215886882</v>
      </c>
      <c r="Q1108" s="3">
        <v>12.135590031079721</v>
      </c>
    </row>
    <row r="1109" spans="1:17" x14ac:dyDescent="0.3">
      <c r="A1109" t="s">
        <v>544</v>
      </c>
      <c r="B1109" s="19" t="s">
        <v>504</v>
      </c>
      <c r="C1109" s="21" t="s">
        <v>505</v>
      </c>
      <c r="D1109" s="24">
        <v>6</v>
      </c>
      <c r="E1109" t="s">
        <v>509</v>
      </c>
      <c r="F1109">
        <v>0.78083568696430017</v>
      </c>
      <c r="G1109">
        <v>5.5652812315455522</v>
      </c>
      <c r="H1109">
        <v>1.8393342565913411</v>
      </c>
      <c r="I1109">
        <v>24.285410563977152</v>
      </c>
      <c r="J1109">
        <v>0.21496400538624197</v>
      </c>
      <c r="K1109">
        <v>9.7375903465102844</v>
      </c>
      <c r="L1109">
        <v>0.36952956556907984</v>
      </c>
      <c r="M1109">
        <v>0.52000365797463832</v>
      </c>
      <c r="N1109">
        <v>0.35476364591313253</v>
      </c>
      <c r="O1109">
        <v>14.876386129496183</v>
      </c>
      <c r="P1109" s="3">
        <v>46.223960717968893</v>
      </c>
      <c r="Q1109" s="3">
        <v>12.793742131648072</v>
      </c>
    </row>
    <row r="1110" spans="1:17" x14ac:dyDescent="0.3">
      <c r="A1110" t="s">
        <v>545</v>
      </c>
      <c r="B1110" s="19" t="s">
        <v>504</v>
      </c>
      <c r="C1110" s="21" t="s">
        <v>505</v>
      </c>
      <c r="D1110" s="24">
        <v>6</v>
      </c>
      <c r="E1110" t="s">
        <v>509</v>
      </c>
      <c r="F1110">
        <v>0.83894471693117612</v>
      </c>
      <c r="G1110">
        <v>6.495272927917588</v>
      </c>
      <c r="H1110">
        <v>1.9539791696910089</v>
      </c>
      <c r="I1110">
        <v>21.399594092996768</v>
      </c>
      <c r="J1110">
        <v>0.22698378943587103</v>
      </c>
      <c r="K1110">
        <v>9.8505996794626771</v>
      </c>
      <c r="L1110">
        <v>0.4025046653822964</v>
      </c>
      <c r="M1110">
        <v>0.70995222711075401</v>
      </c>
      <c r="N1110">
        <v>0.41483103249889003</v>
      </c>
      <c r="O1110">
        <v>17.976695370495293</v>
      </c>
      <c r="P1110" s="3">
        <v>45.36079099027237</v>
      </c>
      <c r="Q1110" s="3">
        <v>15.86346398210528</v>
      </c>
    </row>
    <row r="1111" spans="1:17" x14ac:dyDescent="0.3">
      <c r="A1111" t="s">
        <v>546</v>
      </c>
      <c r="B1111" s="19" t="s">
        <v>504</v>
      </c>
      <c r="C1111" s="21" t="s">
        <v>505</v>
      </c>
      <c r="D1111" s="24">
        <v>6</v>
      </c>
      <c r="E1111" t="s">
        <v>509</v>
      </c>
      <c r="F1111">
        <v>1.3000743062456834</v>
      </c>
      <c r="G1111">
        <v>4.3756619110482822</v>
      </c>
      <c r="H1111">
        <v>2.772750563908243</v>
      </c>
      <c r="I1111">
        <v>22.966431393570357</v>
      </c>
      <c r="J1111">
        <v>0.48277696931211195</v>
      </c>
      <c r="K1111">
        <v>7.7198514206875863</v>
      </c>
      <c r="L1111">
        <v>0.4997759536629412</v>
      </c>
      <c r="M1111">
        <v>0.19849443491001154</v>
      </c>
      <c r="N1111">
        <v>0.39143533612262849</v>
      </c>
      <c r="O1111">
        <v>18.219183846854627</v>
      </c>
      <c r="P1111" s="3">
        <v>35.559856988565109</v>
      </c>
      <c r="Q1111" s="3">
        <v>3.5817954128958607</v>
      </c>
    </row>
    <row r="1112" spans="1:17" x14ac:dyDescent="0.3">
      <c r="A1112" t="s">
        <v>547</v>
      </c>
      <c r="B1112" s="19" t="s">
        <v>504</v>
      </c>
      <c r="C1112" s="21" t="s">
        <v>505</v>
      </c>
      <c r="D1112" s="24">
        <v>6</v>
      </c>
      <c r="E1112" t="s">
        <v>509</v>
      </c>
      <c r="F1112">
        <v>0.96993248210553562</v>
      </c>
      <c r="G1112">
        <v>5.0883290971677262</v>
      </c>
      <c r="H1112">
        <v>1.947486684003364</v>
      </c>
      <c r="I1112">
        <v>24.022061343814475</v>
      </c>
      <c r="J1112">
        <v>0.25802112984178266</v>
      </c>
      <c r="K1112">
        <v>9.3801014563196485</v>
      </c>
      <c r="L1112">
        <v>0.39920619177046862</v>
      </c>
      <c r="M1112">
        <v>0.43469604489706404</v>
      </c>
      <c r="N1112">
        <v>0.35698796206585665</v>
      </c>
      <c r="O1112">
        <v>15.813552018955781</v>
      </c>
      <c r="P1112" s="3">
        <v>42.506378000577399</v>
      </c>
      <c r="Q1112" s="3">
        <v>10.380492258230923</v>
      </c>
    </row>
    <row r="1113" spans="1:17" x14ac:dyDescent="0.3">
      <c r="A1113" t="s">
        <v>548</v>
      </c>
      <c r="B1113" s="19" t="s">
        <v>504</v>
      </c>
      <c r="C1113" s="21" t="s">
        <v>505</v>
      </c>
      <c r="D1113" s="24">
        <v>6</v>
      </c>
      <c r="E1113" t="s">
        <v>509</v>
      </c>
      <c r="F1113">
        <v>1.2195013483281796</v>
      </c>
      <c r="G1113">
        <v>4.5898045228877349</v>
      </c>
      <c r="H1113">
        <v>2.4781281905272956</v>
      </c>
      <c r="I1113">
        <v>25.091912417933752</v>
      </c>
      <c r="J1113">
        <v>0.35851961409251465</v>
      </c>
      <c r="K1113">
        <v>9.9153929171185613</v>
      </c>
      <c r="L1113">
        <v>0.42668008105629301</v>
      </c>
      <c r="M1113">
        <v>0.45749338097780595</v>
      </c>
      <c r="N1113">
        <v>0.29327844015572113</v>
      </c>
      <c r="O1113">
        <v>12.963350449016508</v>
      </c>
      <c r="P1113" s="3">
        <v>44.858467318679971</v>
      </c>
      <c r="Q1113" s="3">
        <v>8.7424664907589786</v>
      </c>
    </row>
    <row r="1114" spans="1:17" x14ac:dyDescent="0.3">
      <c r="A1114" t="s">
        <v>549</v>
      </c>
      <c r="B1114" s="19" t="s">
        <v>504</v>
      </c>
      <c r="C1114" s="21" t="s">
        <v>505</v>
      </c>
      <c r="D1114" s="24">
        <v>6</v>
      </c>
      <c r="E1114" t="s">
        <v>509</v>
      </c>
      <c r="F1114">
        <v>1.6617757627583536</v>
      </c>
      <c r="G1114">
        <v>6.3319397578404129</v>
      </c>
      <c r="H1114">
        <v>2.7521581781269306</v>
      </c>
      <c r="I1114">
        <v>19.258392556962871</v>
      </c>
      <c r="J1114">
        <v>0.41507511014385057</v>
      </c>
      <c r="K1114">
        <v>10.791907555682364</v>
      </c>
      <c r="L1114">
        <v>0.43752469792775311</v>
      </c>
      <c r="M1114">
        <v>0.41824950834732411</v>
      </c>
      <c r="N1114">
        <v>0.39497554167782684</v>
      </c>
      <c r="O1114">
        <v>18.422227325872722</v>
      </c>
      <c r="P1114" s="3">
        <v>44.125915407341793</v>
      </c>
      <c r="Q1114" s="3">
        <v>7.309715374366804</v>
      </c>
    </row>
    <row r="1115" spans="1:17" x14ac:dyDescent="0.3">
      <c r="A1115" t="s">
        <v>755</v>
      </c>
      <c r="B1115" s="19" t="s">
        <v>149</v>
      </c>
      <c r="C1115" s="21" t="s">
        <v>150</v>
      </c>
      <c r="D1115" s="24">
        <v>6</v>
      </c>
      <c r="E1115" t="s">
        <v>509</v>
      </c>
      <c r="F1115">
        <v>0.4747930750738153</v>
      </c>
      <c r="G1115">
        <v>6.6937648868598645</v>
      </c>
      <c r="H1115">
        <v>1.0108888692735456</v>
      </c>
      <c r="I1115">
        <v>22.404241632408503</v>
      </c>
      <c r="J1115">
        <v>0.14942703965178619</v>
      </c>
      <c r="K1115">
        <v>10.513176168482621</v>
      </c>
      <c r="L1115">
        <v>0.28169398359732051</v>
      </c>
      <c r="M1115">
        <v>0.1642097783392219</v>
      </c>
      <c r="N1115">
        <v>0.45693248939199577</v>
      </c>
      <c r="O1115">
        <v>16.999751545014199</v>
      </c>
      <c r="P1115" s="3">
        <v>47.498980414086958</v>
      </c>
      <c r="Q1115" s="3">
        <v>7.7741426325023806</v>
      </c>
    </row>
    <row r="1116" spans="1:17" x14ac:dyDescent="0.3">
      <c r="A1116" t="s">
        <v>756</v>
      </c>
      <c r="B1116" s="19" t="s">
        <v>149</v>
      </c>
      <c r="C1116" s="21" t="s">
        <v>150</v>
      </c>
      <c r="D1116" s="24">
        <v>6</v>
      </c>
      <c r="E1116" t="s">
        <v>509</v>
      </c>
      <c r="F1116">
        <v>0.50446764226592877</v>
      </c>
      <c r="G1116">
        <v>6.6817040492258828</v>
      </c>
      <c r="H1116">
        <v>1.0638149880836789</v>
      </c>
      <c r="I1116">
        <v>22.796888470948524</v>
      </c>
      <c r="J1116">
        <v>0.13282403524603217</v>
      </c>
      <c r="K1116">
        <v>10.77761363839007</v>
      </c>
      <c r="L1116">
        <v>0.27570049458461154</v>
      </c>
      <c r="M1116">
        <v>0.19157807472909225</v>
      </c>
      <c r="N1116">
        <v>0.44918787092772461</v>
      </c>
      <c r="O1116">
        <v>16.494500584599969</v>
      </c>
      <c r="P1116" s="3">
        <v>48.206867583642868</v>
      </c>
      <c r="Q1116" s="3">
        <v>8.5464268692513521</v>
      </c>
    </row>
    <row r="1117" spans="1:17" x14ac:dyDescent="0.3">
      <c r="A1117" t="s">
        <v>553</v>
      </c>
      <c r="B1117" s="19" t="s">
        <v>500</v>
      </c>
      <c r="C1117" s="21" t="s">
        <v>501</v>
      </c>
      <c r="D1117" s="24">
        <v>7</v>
      </c>
      <c r="E1117" t="s">
        <v>554</v>
      </c>
      <c r="F1117">
        <v>1.0311912099259424</v>
      </c>
      <c r="G1117">
        <v>5.6082894998015087</v>
      </c>
      <c r="H1117">
        <v>3.6413169741371698</v>
      </c>
      <c r="I1117">
        <v>23.979503353694056</v>
      </c>
      <c r="J1117">
        <v>0.14112553744890921</v>
      </c>
      <c r="K1117">
        <v>6.8610803003013707</v>
      </c>
      <c r="L1117">
        <v>0.49146609904213362</v>
      </c>
      <c r="M1117">
        <v>9.2368000315812326E-2</v>
      </c>
      <c r="N1117">
        <v>0.40272016014209799</v>
      </c>
      <c r="O1117">
        <v>15.07979789544012</v>
      </c>
      <c r="P1117" s="3">
        <v>46.077767972730264</v>
      </c>
      <c r="Q1117" s="3">
        <v>1.2992351954101276</v>
      </c>
    </row>
    <row r="1118" spans="1:17" x14ac:dyDescent="0.3">
      <c r="A1118" t="s">
        <v>555</v>
      </c>
      <c r="B1118" s="19" t="s">
        <v>500</v>
      </c>
      <c r="C1118" s="21" t="s">
        <v>501</v>
      </c>
      <c r="D1118" s="24">
        <v>7</v>
      </c>
      <c r="E1118" t="s">
        <v>554</v>
      </c>
      <c r="F1118">
        <v>0.26707110472902107</v>
      </c>
      <c r="G1118">
        <v>15.799697300516076</v>
      </c>
      <c r="H1118">
        <v>1.2278859563950921</v>
      </c>
      <c r="I1118">
        <v>21.221626749662967</v>
      </c>
      <c r="J1118">
        <v>2.075375550719253E-2</v>
      </c>
      <c r="K1118">
        <v>2.9016652103357878</v>
      </c>
      <c r="L1118">
        <v>0.20977211544481314</v>
      </c>
      <c r="M1118">
        <v>0.47210311272526295</v>
      </c>
      <c r="N1118">
        <v>0.37174168628501347</v>
      </c>
      <c r="O1118">
        <v>15.312990646400534</v>
      </c>
      <c r="P1118" s="3">
        <v>70.332611242320368</v>
      </c>
      <c r="Q1118" s="3">
        <v>16.633211383085467</v>
      </c>
    </row>
    <row r="1119" spans="1:17" x14ac:dyDescent="0.3">
      <c r="A1119" t="s">
        <v>555</v>
      </c>
      <c r="B1119" s="19" t="s">
        <v>556</v>
      </c>
      <c r="C1119" s="21" t="s">
        <v>502</v>
      </c>
      <c r="D1119" s="24">
        <v>7</v>
      </c>
      <c r="E1119" t="s">
        <v>554</v>
      </c>
      <c r="F1119">
        <v>0.2596524629309927</v>
      </c>
      <c r="G1119">
        <v>15.799697300516076</v>
      </c>
      <c r="H1119">
        <v>1.2278859563950921</v>
      </c>
      <c r="I1119">
        <v>21.198254914035587</v>
      </c>
      <c r="J1119">
        <v>2.075375550719253E-2</v>
      </c>
      <c r="K1119">
        <v>2.8945182516896408</v>
      </c>
      <c r="L1119">
        <v>0.20977211544481314</v>
      </c>
      <c r="M1119">
        <v>0.69000000000000006</v>
      </c>
      <c r="N1119">
        <v>0.37174168628501347</v>
      </c>
      <c r="O1119">
        <v>15.297444463003174</v>
      </c>
      <c r="P1119" s="3">
        <v>70.35380122781892</v>
      </c>
      <c r="Q1119" s="3">
        <v>22.576960708475312</v>
      </c>
    </row>
    <row r="1120" spans="1:17" x14ac:dyDescent="0.3">
      <c r="A1120" t="s">
        <v>557</v>
      </c>
      <c r="B1120" s="19" t="s">
        <v>558</v>
      </c>
      <c r="C1120" s="21" t="s">
        <v>559</v>
      </c>
      <c r="D1120" s="24">
        <v>7</v>
      </c>
      <c r="E1120" t="s">
        <v>554</v>
      </c>
      <c r="F1120">
        <v>0.48295358105164649</v>
      </c>
      <c r="G1120">
        <v>11.276883187772924</v>
      </c>
      <c r="H1120">
        <v>2.7362803424838908</v>
      </c>
      <c r="I1120">
        <v>23.325091956127359</v>
      </c>
      <c r="J1120">
        <v>1.2950343436488137E-2</v>
      </c>
      <c r="K1120">
        <v>4.8813727553185791</v>
      </c>
      <c r="L1120">
        <v>0.31885361547611601</v>
      </c>
      <c r="M1120">
        <v>0.32534062333458341</v>
      </c>
      <c r="N1120">
        <v>0.37251614813144063</v>
      </c>
      <c r="O1120">
        <v>13.447448638717221</v>
      </c>
      <c r="P1120" s="3">
        <v>65.833054839857269</v>
      </c>
      <c r="Q1120" s="3">
        <v>5.8113934390501116</v>
      </c>
    </row>
    <row r="1121" spans="1:17" x14ac:dyDescent="0.3">
      <c r="A1121" t="s">
        <v>557</v>
      </c>
      <c r="B1121" s="19" t="s">
        <v>534</v>
      </c>
      <c r="C1121" s="21" t="s">
        <v>502</v>
      </c>
      <c r="D1121" s="24">
        <v>7</v>
      </c>
      <c r="E1121" t="s">
        <v>554</v>
      </c>
      <c r="F1121">
        <v>0.35609480630536144</v>
      </c>
      <c r="G1121">
        <v>11.843742556570067</v>
      </c>
      <c r="H1121">
        <v>2.7892064612940239</v>
      </c>
      <c r="I1121">
        <v>22.764167901070188</v>
      </c>
      <c r="J1121">
        <v>8.3015022028770109E-3</v>
      </c>
      <c r="K1121">
        <v>4.5526126575958052</v>
      </c>
      <c r="L1121">
        <v>0.32364840668628314</v>
      </c>
      <c r="M1121">
        <v>0.48580000000000001</v>
      </c>
      <c r="N1121">
        <v>0.40272016014209799</v>
      </c>
      <c r="O1121">
        <v>13.626229747786873</v>
      </c>
      <c r="P1121" s="3">
        <v>66.634521269835602</v>
      </c>
      <c r="Q1121" s="3">
        <v>8.2890059522547332</v>
      </c>
    </row>
    <row r="1122" spans="1:17" x14ac:dyDescent="0.3">
      <c r="A1122" t="s">
        <v>560</v>
      </c>
      <c r="B1122" s="19" t="s">
        <v>500</v>
      </c>
      <c r="C1122" s="21" t="s">
        <v>501</v>
      </c>
      <c r="D1122" s="24">
        <v>7</v>
      </c>
      <c r="E1122" t="s">
        <v>554</v>
      </c>
      <c r="F1122">
        <v>0.91249294115748869</v>
      </c>
      <c r="G1122">
        <v>6.8143732631996823</v>
      </c>
      <c r="H1122">
        <v>3.2020301880130635</v>
      </c>
      <c r="I1122">
        <v>23.605553983655945</v>
      </c>
      <c r="J1122">
        <v>0.11622103084027817</v>
      </c>
      <c r="K1122">
        <v>7.5043065784546243</v>
      </c>
      <c r="L1122">
        <v>0.47348563200400684</v>
      </c>
      <c r="M1122">
        <v>0.15463087460276731</v>
      </c>
      <c r="N1122">
        <v>0.38723092321355573</v>
      </c>
      <c r="O1122">
        <v>14.069295974611659</v>
      </c>
      <c r="P1122" s="3">
        <v>52.670884469587364</v>
      </c>
      <c r="Q1122" s="3">
        <v>2.4447015892297164</v>
      </c>
    </row>
    <row r="1123" spans="1:17" x14ac:dyDescent="0.3">
      <c r="A1123" t="s">
        <v>560</v>
      </c>
      <c r="B1123" s="19" t="s">
        <v>561</v>
      </c>
      <c r="C1123" s="21" t="s">
        <v>502</v>
      </c>
      <c r="D1123" s="24">
        <v>7</v>
      </c>
      <c r="E1123" t="s">
        <v>554</v>
      </c>
      <c r="F1123">
        <v>0.89023701576340364</v>
      </c>
      <c r="G1123">
        <v>6.8746774513695907</v>
      </c>
      <c r="H1123">
        <v>3.016788772177597</v>
      </c>
      <c r="I1123">
        <v>23.792528668675001</v>
      </c>
      <c r="J1123">
        <v>8.3015022028770119E-2</v>
      </c>
      <c r="K1123">
        <v>7.5043065784546243</v>
      </c>
      <c r="L1123">
        <v>0.43752469792775311</v>
      </c>
      <c r="M1123">
        <v>0.26</v>
      </c>
      <c r="N1123">
        <v>0.38723092321355573</v>
      </c>
      <c r="O1123">
        <v>13.447448638717221</v>
      </c>
      <c r="P1123" s="3">
        <v>54.01516658392034</v>
      </c>
      <c r="Q1123" s="3">
        <v>4.2808638754640871</v>
      </c>
    </row>
    <row r="1124" spans="1:17" x14ac:dyDescent="0.3">
      <c r="A1124" t="s">
        <v>562</v>
      </c>
      <c r="B1124" s="19" t="s">
        <v>563</v>
      </c>
      <c r="C1124" s="21" t="s">
        <v>564</v>
      </c>
      <c r="D1124" s="24">
        <v>7</v>
      </c>
      <c r="E1124" t="s">
        <v>554</v>
      </c>
      <c r="F1124">
        <v>0.22255925394085091</v>
      </c>
      <c r="G1124">
        <v>16.342434994045256</v>
      </c>
      <c r="H1124">
        <v>2.0270703504281049</v>
      </c>
      <c r="I1124">
        <v>20.520471680841503</v>
      </c>
      <c r="J1124">
        <v>2.075375550719253E-2</v>
      </c>
      <c r="K1124">
        <v>3.4519810260891273</v>
      </c>
      <c r="L1124">
        <v>0.1917916484066863</v>
      </c>
      <c r="M1124">
        <v>0.6499970392594201</v>
      </c>
      <c r="N1124">
        <v>0.37948630474928463</v>
      </c>
      <c r="O1124">
        <v>14.224757808585268</v>
      </c>
      <c r="P1124" s="3">
        <v>72.525482619787198</v>
      </c>
      <c r="Q1124" s="3">
        <v>14.265933167302133</v>
      </c>
    </row>
    <row r="1125" spans="1:17" x14ac:dyDescent="0.3">
      <c r="A1125" t="s">
        <v>565</v>
      </c>
      <c r="B1125" s="19" t="s">
        <v>563</v>
      </c>
      <c r="C1125" s="21" t="s">
        <v>564</v>
      </c>
      <c r="D1125" s="24">
        <v>7</v>
      </c>
      <c r="E1125" t="s">
        <v>554</v>
      </c>
      <c r="F1125">
        <v>0.22255925394085091</v>
      </c>
      <c r="G1125">
        <v>16.101218241365618</v>
      </c>
      <c r="H1125">
        <v>1.0214740930355724</v>
      </c>
      <c r="I1125">
        <v>21.221626749662967</v>
      </c>
      <c r="J1125">
        <v>8.3015022028770109E-3</v>
      </c>
      <c r="K1125">
        <v>2.8087547479358737</v>
      </c>
      <c r="L1125">
        <v>0.17381118136855944</v>
      </c>
      <c r="M1125">
        <v>0.7321019284290311</v>
      </c>
      <c r="N1125">
        <v>0.39497554167782684</v>
      </c>
      <c r="O1125">
        <v>14.92433606146651</v>
      </c>
      <c r="P1125" s="3">
        <v>71.254969592933548</v>
      </c>
      <c r="Q1125" s="3">
        <v>27.109400764899778</v>
      </c>
    </row>
    <row r="1126" spans="1:17" x14ac:dyDescent="0.3">
      <c r="A1126" t="s">
        <v>566</v>
      </c>
      <c r="B1126" s="19" t="s">
        <v>563</v>
      </c>
      <c r="C1126" s="21" t="s">
        <v>564</v>
      </c>
      <c r="D1126" s="24">
        <v>7</v>
      </c>
      <c r="E1126" t="s">
        <v>554</v>
      </c>
      <c r="F1126">
        <v>0.40802529889156003</v>
      </c>
      <c r="G1126">
        <v>15.437872171496625</v>
      </c>
      <c r="H1126">
        <v>1.9582663959749316</v>
      </c>
      <c r="I1126">
        <v>19.445367241981927</v>
      </c>
      <c r="J1126">
        <v>8.3015022028770119E-2</v>
      </c>
      <c r="K1126">
        <v>3.3590705636892131</v>
      </c>
      <c r="L1126">
        <v>0.23973956050835787</v>
      </c>
      <c r="M1126">
        <v>0.6910494838442256</v>
      </c>
      <c r="N1126">
        <v>0.38723092321355573</v>
      </c>
      <c r="O1126">
        <v>15.39072156338734</v>
      </c>
      <c r="P1126" s="3">
        <v>69.740199700776444</v>
      </c>
      <c r="Q1126" s="3">
        <v>15.477894599769312</v>
      </c>
    </row>
    <row r="1127" spans="1:17" x14ac:dyDescent="0.3">
      <c r="A1127" t="s">
        <v>567</v>
      </c>
      <c r="B1127" s="19" t="s">
        <v>563</v>
      </c>
      <c r="C1127" s="21" t="s">
        <v>564</v>
      </c>
      <c r="D1127" s="24">
        <v>7</v>
      </c>
      <c r="E1127" t="s">
        <v>554</v>
      </c>
      <c r="F1127">
        <v>0.37835073169944655</v>
      </c>
      <c r="G1127">
        <v>14.834830289797539</v>
      </c>
      <c r="H1127">
        <v>1.5242722217318385</v>
      </c>
      <c r="I1127">
        <v>21.595576119701082</v>
      </c>
      <c r="J1127">
        <v>8.3015022028770119E-2</v>
      </c>
      <c r="K1127">
        <v>3.0874861351356171</v>
      </c>
      <c r="L1127">
        <v>0.22175909347023104</v>
      </c>
      <c r="M1127">
        <v>0.60210252057714697</v>
      </c>
      <c r="N1127">
        <v>0.37948630474928463</v>
      </c>
      <c r="O1127">
        <v>15.157528812426925</v>
      </c>
      <c r="P1127" s="3">
        <v>69.219012455457474</v>
      </c>
      <c r="Q1127" s="3">
        <v>17.011091014571882</v>
      </c>
    </row>
    <row r="1128" spans="1:17" x14ac:dyDescent="0.3">
      <c r="A1128" t="s">
        <v>568</v>
      </c>
      <c r="B1128" s="19" t="s">
        <v>563</v>
      </c>
      <c r="C1128" s="21" t="s">
        <v>564</v>
      </c>
      <c r="D1128" s="24">
        <v>7</v>
      </c>
      <c r="E1128" t="s">
        <v>554</v>
      </c>
      <c r="F1128">
        <v>0.60832862743832583</v>
      </c>
      <c r="G1128">
        <v>13.80965909090909</v>
      </c>
      <c r="H1128">
        <v>2.1276299761673578</v>
      </c>
      <c r="I1128">
        <v>20.567215352096269</v>
      </c>
      <c r="J1128">
        <v>4.9809013217262069E-2</v>
      </c>
      <c r="K1128">
        <v>3.2947479358738878</v>
      </c>
      <c r="L1128">
        <v>0.3296418956989921</v>
      </c>
      <c r="M1128">
        <v>0.66368118745435523</v>
      </c>
      <c r="N1128">
        <v>0.37948630474928463</v>
      </c>
      <c r="O1128">
        <v>16.867608986136627</v>
      </c>
      <c r="P1128" s="3">
        <v>65.29135919153731</v>
      </c>
      <c r="Q1128" s="3">
        <v>13.931885561861392</v>
      </c>
    </row>
    <row r="1129" spans="1:17" x14ac:dyDescent="0.3">
      <c r="A1129" t="s">
        <v>569</v>
      </c>
      <c r="B1129" s="19" t="s">
        <v>563</v>
      </c>
      <c r="C1129" s="21" t="s">
        <v>564</v>
      </c>
      <c r="D1129" s="24">
        <v>7</v>
      </c>
      <c r="E1129" t="s">
        <v>554</v>
      </c>
      <c r="F1129">
        <v>0.34125752270930476</v>
      </c>
      <c r="G1129">
        <v>16.764564311234615</v>
      </c>
      <c r="H1129">
        <v>1.497809162326772</v>
      </c>
      <c r="I1129">
        <v>19.912803954529569</v>
      </c>
      <c r="J1129">
        <v>1.2452253304315517E-2</v>
      </c>
      <c r="K1129">
        <v>2.3513493945824488</v>
      </c>
      <c r="L1129">
        <v>0.28169398359732051</v>
      </c>
      <c r="M1129">
        <v>0.6910494838442256</v>
      </c>
      <c r="N1129">
        <v>0.35625244935647127</v>
      </c>
      <c r="O1129">
        <v>15.39072156338734</v>
      </c>
      <c r="P1129" s="3">
        <v>71.451213659127959</v>
      </c>
      <c r="Q1129" s="3">
        <v>19.316972191152932</v>
      </c>
    </row>
    <row r="1130" spans="1:17" x14ac:dyDescent="0.3">
      <c r="A1130" t="s">
        <v>570</v>
      </c>
      <c r="B1130" s="19" t="s">
        <v>571</v>
      </c>
      <c r="C1130" s="21" t="s">
        <v>572</v>
      </c>
      <c r="D1130" s="24">
        <v>7</v>
      </c>
      <c r="E1130" t="s">
        <v>554</v>
      </c>
      <c r="F1130">
        <v>0.59349134384226909</v>
      </c>
      <c r="G1130">
        <v>10.915058058753473</v>
      </c>
      <c r="H1130">
        <v>3.1755671286079972</v>
      </c>
      <c r="I1130">
        <v>23.091373599853537</v>
      </c>
      <c r="J1130">
        <v>1.6603004405754022E-2</v>
      </c>
      <c r="K1130">
        <v>5.145810225226028</v>
      </c>
      <c r="L1130">
        <v>0.28768747261002942</v>
      </c>
      <c r="M1130">
        <v>0.48578726092019814</v>
      </c>
      <c r="N1130">
        <v>0.33301859396365791</v>
      </c>
      <c r="O1130">
        <v>12.28148488391515</v>
      </c>
      <c r="P1130" s="3">
        <v>67.127301980673352</v>
      </c>
      <c r="Q1130" s="3">
        <v>7.3545032033127287</v>
      </c>
    </row>
    <row r="1131" spans="1:17" x14ac:dyDescent="0.3">
      <c r="A1131" t="s">
        <v>573</v>
      </c>
      <c r="B1131" s="19" t="s">
        <v>574</v>
      </c>
      <c r="C1131" s="21" t="s">
        <v>575</v>
      </c>
      <c r="D1131" s="24">
        <v>7</v>
      </c>
      <c r="E1131" t="s">
        <v>554</v>
      </c>
      <c r="F1131">
        <v>0.35609480630536144</v>
      </c>
      <c r="G1131">
        <v>11.843742556570067</v>
      </c>
      <c r="H1131">
        <v>2.7892064612940239</v>
      </c>
      <c r="I1131">
        <v>22.764167901070188</v>
      </c>
      <c r="J1131">
        <v>1.6603004405754022E-2</v>
      </c>
      <c r="K1131">
        <v>4.5526126575958052</v>
      </c>
      <c r="L1131">
        <v>0.32364840668628314</v>
      </c>
      <c r="M1131">
        <v>0.48578726092019814</v>
      </c>
      <c r="N1131">
        <v>0.40272016014209799</v>
      </c>
      <c r="O1131">
        <v>13.462994822114581</v>
      </c>
      <c r="P1131" s="3">
        <v>66.901928642452035</v>
      </c>
      <c r="Q1131" s="3">
        <v>8.2888066072561735</v>
      </c>
    </row>
    <row r="1132" spans="1:17" x14ac:dyDescent="0.3">
      <c r="A1132" t="s">
        <v>576</v>
      </c>
      <c r="B1132" s="19" t="s">
        <v>577</v>
      </c>
      <c r="C1132" s="21" t="s">
        <v>578</v>
      </c>
      <c r="D1132" s="24">
        <v>7</v>
      </c>
      <c r="E1132" t="s">
        <v>554</v>
      </c>
      <c r="F1132">
        <v>0.52672356766001382</v>
      </c>
      <c r="G1132">
        <v>11.904046744739974</v>
      </c>
      <c r="H1132">
        <v>2.6833542236737578</v>
      </c>
      <c r="I1132">
        <v>22.806237205199476</v>
      </c>
      <c r="J1132">
        <v>2.075375550719253E-2</v>
      </c>
      <c r="K1132">
        <v>4.8456379620878431</v>
      </c>
      <c r="L1132">
        <v>0.60534239028360359</v>
      </c>
      <c r="M1132">
        <v>0.69000000000000006</v>
      </c>
      <c r="N1132">
        <v>0.35625244935647127</v>
      </c>
      <c r="O1132">
        <v>13.268667529647569</v>
      </c>
      <c r="P1132" s="3">
        <v>67.334887533214939</v>
      </c>
      <c r="Q1132" s="3">
        <v>11.772752581094011</v>
      </c>
    </row>
    <row r="1133" spans="1:17" x14ac:dyDescent="0.3">
      <c r="A1133" t="s">
        <v>560</v>
      </c>
      <c r="B1133" s="19" t="s">
        <v>579</v>
      </c>
      <c r="C1133" s="21" t="s">
        <v>580</v>
      </c>
      <c r="D1133" s="24">
        <v>7</v>
      </c>
      <c r="E1133" t="s">
        <v>554</v>
      </c>
      <c r="F1133">
        <v>0.73444553800480794</v>
      </c>
      <c r="G1133">
        <v>6.633460698689956</v>
      </c>
      <c r="H1133">
        <v>3.0009109365345572</v>
      </c>
      <c r="I1133">
        <v>23.745784997420238</v>
      </c>
      <c r="J1133">
        <v>0.11622103084027817</v>
      </c>
      <c r="K1133">
        <v>7.7187153378390425</v>
      </c>
      <c r="L1133">
        <v>0.46149865397858891</v>
      </c>
      <c r="M1133">
        <v>0.20526222292402738</v>
      </c>
      <c r="N1133">
        <v>0.38723092321355573</v>
      </c>
      <c r="O1133">
        <v>13.991565057624854</v>
      </c>
      <c r="P1133" s="3">
        <v>52.137943046242263</v>
      </c>
      <c r="Q1133" s="3">
        <v>3.427775419440318</v>
      </c>
    </row>
    <row r="1134" spans="1:17" x14ac:dyDescent="0.3">
      <c r="A1134" t="s">
        <v>581</v>
      </c>
      <c r="B1134" s="19" t="s">
        <v>579</v>
      </c>
      <c r="C1134" s="21" t="s">
        <v>580</v>
      </c>
      <c r="D1134" s="24">
        <v>7</v>
      </c>
      <c r="E1134" t="s">
        <v>554</v>
      </c>
      <c r="F1134">
        <v>1.016353926329886</v>
      </c>
      <c r="G1134">
        <v>5.5901982433505353</v>
      </c>
      <c r="H1134">
        <v>3.6466095860181831</v>
      </c>
      <c r="I1134">
        <v>23.558810312401178</v>
      </c>
      <c r="J1134">
        <v>0.13282403524603217</v>
      </c>
      <c r="K1134">
        <v>7.2184282326087335</v>
      </c>
      <c r="L1134">
        <v>0.48547261002942471</v>
      </c>
      <c r="M1134">
        <v>0.14368355604681918</v>
      </c>
      <c r="N1134">
        <v>0.38723092321355573</v>
      </c>
      <c r="O1134">
        <v>14.846605144479707</v>
      </c>
      <c r="P1134" s="3">
        <v>46.384855141552137</v>
      </c>
      <c r="Q1134" s="3">
        <v>2.0036953965934368</v>
      </c>
    </row>
    <row r="1135" spans="1:17" x14ac:dyDescent="0.3">
      <c r="A1135" t="s">
        <v>582</v>
      </c>
      <c r="B1135" s="19" t="s">
        <v>583</v>
      </c>
      <c r="C1135" s="21" t="s">
        <v>584</v>
      </c>
      <c r="D1135" s="24">
        <v>7</v>
      </c>
      <c r="E1135" t="s">
        <v>554</v>
      </c>
      <c r="F1135">
        <v>0.76412010519692153</v>
      </c>
      <c r="G1135">
        <v>9.3953925168717731</v>
      </c>
      <c r="H1135">
        <v>2.9162291464383436</v>
      </c>
      <c r="I1135">
        <v>22.535123911921843</v>
      </c>
      <c r="J1135">
        <v>6.6412017623016087E-2</v>
      </c>
      <c r="K1135">
        <v>4.4811430711343325</v>
      </c>
      <c r="L1135">
        <v>0.24573304952106681</v>
      </c>
      <c r="M1135">
        <v>0.34210370487337899</v>
      </c>
      <c r="N1135">
        <v>0.4104647786063691</v>
      </c>
      <c r="O1135">
        <v>15.89597252380157</v>
      </c>
      <c r="P1135" s="3">
        <v>57.592119543618594</v>
      </c>
      <c r="Q1135" s="3">
        <v>5.7382047535033571</v>
      </c>
    </row>
    <row r="1136" spans="1:17" x14ac:dyDescent="0.3">
      <c r="A1136" t="s">
        <v>585</v>
      </c>
      <c r="B1136" s="19" t="s">
        <v>586</v>
      </c>
      <c r="C1136" s="21" t="s">
        <v>587</v>
      </c>
      <c r="D1136" s="24">
        <v>7</v>
      </c>
      <c r="E1136" t="s">
        <v>554</v>
      </c>
      <c r="F1136">
        <v>0.57123541844818404</v>
      </c>
      <c r="G1136">
        <v>6.8807078701865816</v>
      </c>
      <c r="H1136">
        <v>1.6565875187571717</v>
      </c>
      <c r="I1136">
        <v>23.011909358720438</v>
      </c>
      <c r="J1136">
        <v>8.3015022028770119E-2</v>
      </c>
      <c r="K1136">
        <v>7.4900126611623303</v>
      </c>
      <c r="L1136">
        <v>0.46149865397858891</v>
      </c>
      <c r="M1136">
        <v>0.1642097783392219</v>
      </c>
      <c r="N1136">
        <v>0.46467710785626687</v>
      </c>
      <c r="O1136">
        <v>16.525592951394689</v>
      </c>
      <c r="P1136" s="3">
        <v>48.892910300510714</v>
      </c>
      <c r="Q1136" s="3">
        <v>4.8922081996582909</v>
      </c>
    </row>
    <row r="1137" spans="1:17" x14ac:dyDescent="0.3">
      <c r="A1137" t="s">
        <v>588</v>
      </c>
      <c r="B1137" s="19" t="s">
        <v>589</v>
      </c>
      <c r="C1137" s="21" t="s">
        <v>590</v>
      </c>
      <c r="D1137" s="24">
        <v>7</v>
      </c>
      <c r="E1137" t="s">
        <v>554</v>
      </c>
      <c r="F1137">
        <v>0.95700479194565891</v>
      </c>
      <c r="G1137">
        <v>5.7228674573243348</v>
      </c>
      <c r="H1137">
        <v>3.223200635537117</v>
      </c>
      <c r="I1137">
        <v>22.717424229815425</v>
      </c>
      <c r="J1137">
        <v>0.19093455066617127</v>
      </c>
      <c r="K1137">
        <v>6.6895532927938364</v>
      </c>
      <c r="L1137">
        <v>0.60534239028360359</v>
      </c>
      <c r="M1137">
        <v>0.13684148194935161</v>
      </c>
      <c r="N1137">
        <v>0.4104647786063691</v>
      </c>
      <c r="O1137">
        <v>17.33399448805746</v>
      </c>
      <c r="P1137" s="3">
        <v>43.136069979834474</v>
      </c>
      <c r="Q1137" s="3">
        <v>2.1556118068313816</v>
      </c>
    </row>
    <row r="1138" spans="1:17" x14ac:dyDescent="0.3">
      <c r="A1138" t="s">
        <v>591</v>
      </c>
      <c r="B1138" s="19" t="s">
        <v>592</v>
      </c>
      <c r="C1138" s="21" t="s">
        <v>593</v>
      </c>
      <c r="D1138" s="24">
        <v>7</v>
      </c>
      <c r="E1138" t="s">
        <v>554</v>
      </c>
      <c r="F1138">
        <v>0.58607270204424078</v>
      </c>
      <c r="G1138">
        <v>9.2808145593489471</v>
      </c>
      <c r="H1138">
        <v>2.4081384058610644</v>
      </c>
      <c r="I1138">
        <v>24.339429622355748</v>
      </c>
      <c r="J1138">
        <v>8.3015022028770119E-2</v>
      </c>
      <c r="K1138">
        <v>4.624082244057278</v>
      </c>
      <c r="L1138">
        <v>0.34162887372440992</v>
      </c>
      <c r="M1138">
        <v>0.44473481633539269</v>
      </c>
      <c r="N1138">
        <v>0.36399706782074237</v>
      </c>
      <c r="O1138">
        <v>14.722235677300819</v>
      </c>
      <c r="P1138" s="3">
        <v>59.157694969449814</v>
      </c>
      <c r="Q1138" s="3">
        <v>8.745381187150695</v>
      </c>
    </row>
    <row r="1139" spans="1:17" x14ac:dyDescent="0.3">
      <c r="A1139" t="s">
        <v>594</v>
      </c>
      <c r="B1139" s="19" t="s">
        <v>595</v>
      </c>
      <c r="C1139" s="21" t="s">
        <v>596</v>
      </c>
      <c r="D1139" s="24">
        <v>7</v>
      </c>
      <c r="E1139" t="s">
        <v>554</v>
      </c>
      <c r="F1139">
        <v>0.69735232901466615</v>
      </c>
      <c r="G1139">
        <v>10.613537117903931</v>
      </c>
      <c r="H1139">
        <v>2.5722093741724779</v>
      </c>
      <c r="I1139">
        <v>21.132813774278915</v>
      </c>
      <c r="J1139">
        <v>9.1316524231647128E-2</v>
      </c>
      <c r="K1139">
        <v>4.0594725110116441</v>
      </c>
      <c r="L1139">
        <v>0.36560282977524577</v>
      </c>
      <c r="M1139">
        <v>0.46526103862779544</v>
      </c>
      <c r="N1139">
        <v>0.39497554167782684</v>
      </c>
      <c r="O1139">
        <v>18.499958242859531</v>
      </c>
      <c r="P1139" s="3">
        <v>56.862900289680709</v>
      </c>
      <c r="Q1139" s="3">
        <v>8.5808760252258409</v>
      </c>
    </row>
    <row r="1140" spans="1:17" x14ac:dyDescent="0.3">
      <c r="A1140" t="s">
        <v>597</v>
      </c>
      <c r="B1140" s="19" t="s">
        <v>598</v>
      </c>
      <c r="C1140" s="21" t="s">
        <v>599</v>
      </c>
      <c r="D1140" s="24">
        <v>7</v>
      </c>
      <c r="E1140" t="s">
        <v>554</v>
      </c>
      <c r="F1140">
        <v>1.2240758966746799</v>
      </c>
      <c r="G1140">
        <v>4.6313616514489873</v>
      </c>
      <c r="H1140">
        <v>4.4669644275752489</v>
      </c>
      <c r="I1140">
        <v>23.544787211024751</v>
      </c>
      <c r="J1140">
        <v>9.1316524231647128E-2</v>
      </c>
      <c r="K1140">
        <v>8.0975041460848463</v>
      </c>
      <c r="L1140">
        <v>0.62332285732173054</v>
      </c>
      <c r="M1140">
        <v>0.12999940785188402</v>
      </c>
      <c r="N1140">
        <v>0.35625244935647127</v>
      </c>
      <c r="O1140">
        <v>13.082113328879236</v>
      </c>
      <c r="P1140" s="3">
        <v>44.855839413922162</v>
      </c>
      <c r="Q1140" s="3">
        <v>1.487727600242597</v>
      </c>
    </row>
    <row r="1141" spans="1:17" x14ac:dyDescent="0.3">
      <c r="A1141" t="s">
        <v>600</v>
      </c>
      <c r="B1141" s="19" t="s">
        <v>601</v>
      </c>
      <c r="C1141" s="21" t="s">
        <v>602</v>
      </c>
      <c r="D1141" s="24">
        <v>7</v>
      </c>
      <c r="E1141" t="s">
        <v>554</v>
      </c>
      <c r="F1141">
        <v>1.0831217025121411</v>
      </c>
      <c r="G1141">
        <v>4.522814112743152</v>
      </c>
      <c r="H1141">
        <v>3.9959219701650626</v>
      </c>
      <c r="I1141">
        <v>23.745784997420238</v>
      </c>
      <c r="J1141">
        <v>0.14112553744890921</v>
      </c>
      <c r="K1141">
        <v>7.7901849243005152</v>
      </c>
      <c r="L1141">
        <v>0.55140098916922309</v>
      </c>
      <c r="M1141">
        <v>0.52159999999999995</v>
      </c>
      <c r="N1141">
        <v>0.39497554167782684</v>
      </c>
      <c r="O1141">
        <v>15.312990646400534</v>
      </c>
      <c r="P1141" s="3">
        <v>40.427851107742477</v>
      </c>
      <c r="Q1141" s="3">
        <v>6.3439619346778677</v>
      </c>
    </row>
    <row r="1142" spans="1:17" x14ac:dyDescent="0.3">
      <c r="A1142" t="s">
        <v>603</v>
      </c>
      <c r="B1142" s="19" t="s">
        <v>604</v>
      </c>
      <c r="C1142" s="21" t="s">
        <v>605</v>
      </c>
      <c r="D1142" s="24">
        <v>7</v>
      </c>
      <c r="E1142" t="s">
        <v>554</v>
      </c>
      <c r="F1142">
        <v>0.4970490004679004</v>
      </c>
      <c r="G1142">
        <v>10.975362246923382</v>
      </c>
      <c r="H1142">
        <v>2.7204025068408506</v>
      </c>
      <c r="I1142">
        <v>20.660702694605799</v>
      </c>
      <c r="J1142">
        <v>1.6603004405754022E-2</v>
      </c>
      <c r="K1142">
        <v>4.6955518305187507</v>
      </c>
      <c r="L1142">
        <v>0.42553771990233519</v>
      </c>
      <c r="M1142">
        <v>1.2464000000000002</v>
      </c>
      <c r="N1142">
        <v>0.40272016014209799</v>
      </c>
      <c r="O1142">
        <v>17.722649072991484</v>
      </c>
      <c r="P1142" s="3">
        <v>58.727397179060141</v>
      </c>
      <c r="Q1142" s="3">
        <v>19.208524882323463</v>
      </c>
    </row>
    <row r="1143" spans="1:17" x14ac:dyDescent="0.3">
      <c r="A1143" t="s">
        <v>606</v>
      </c>
      <c r="B1143" s="19" t="s">
        <v>607</v>
      </c>
      <c r="C1143" s="21" t="s">
        <v>608</v>
      </c>
      <c r="D1143" s="24">
        <v>7</v>
      </c>
      <c r="E1143" t="s">
        <v>554</v>
      </c>
      <c r="F1143">
        <v>0.70862787998711108</v>
      </c>
      <c r="G1143">
        <v>11.664092689808736</v>
      </c>
      <c r="H1143">
        <v>2.4184694492629442</v>
      </c>
      <c r="I1143">
        <v>22.436962202286839</v>
      </c>
      <c r="J1143">
        <v>9.1677212447733039E-2</v>
      </c>
      <c r="K1143">
        <v>2.8408074727942223</v>
      </c>
      <c r="L1143">
        <v>0.32156692389946812</v>
      </c>
      <c r="M1143">
        <v>0.28323443037154461</v>
      </c>
      <c r="N1143">
        <v>0.38523117855680428</v>
      </c>
      <c r="O1143">
        <v>16.789878069149825</v>
      </c>
      <c r="P1143" s="3">
        <v>61.48242707119342</v>
      </c>
      <c r="Q1143" s="3">
        <v>5.7291111099877803</v>
      </c>
    </row>
    <row r="1144" spans="1:17" x14ac:dyDescent="0.3">
      <c r="A1144" t="s">
        <v>609</v>
      </c>
      <c r="B1144" s="19" t="s">
        <v>610</v>
      </c>
      <c r="C1144" s="21" t="s">
        <v>611</v>
      </c>
      <c r="D1144" s="24">
        <v>7</v>
      </c>
      <c r="E1144" t="s">
        <v>554</v>
      </c>
      <c r="F1144">
        <v>0.76579004016794838</v>
      </c>
      <c r="G1144">
        <v>11.771213998812353</v>
      </c>
      <c r="H1144">
        <v>2.6840827434487431</v>
      </c>
      <c r="I1144">
        <v>21.275705317123453</v>
      </c>
      <c r="J1144">
        <v>0.10532713473875038</v>
      </c>
      <c r="K1144">
        <v>2.5794059528908617</v>
      </c>
      <c r="L1144">
        <v>0.41061240714266795</v>
      </c>
      <c r="M1144">
        <v>0.3390386282425002</v>
      </c>
      <c r="N1144">
        <v>0.39157355763752694</v>
      </c>
      <c r="O1144">
        <v>18.219158259810374</v>
      </c>
      <c r="P1144" s="3">
        <v>59.750531151299157</v>
      </c>
      <c r="Q1144" s="3">
        <v>6.1515504130586685</v>
      </c>
    </row>
    <row r="1145" spans="1:17" x14ac:dyDescent="0.3">
      <c r="A1145" t="s">
        <v>612</v>
      </c>
      <c r="B1145" s="19" t="s">
        <v>610</v>
      </c>
      <c r="C1145" s="21" t="s">
        <v>611</v>
      </c>
      <c r="D1145" s="24">
        <v>7</v>
      </c>
      <c r="E1145" t="s">
        <v>554</v>
      </c>
      <c r="F1145">
        <v>0.47205252728552288</v>
      </c>
      <c r="G1145">
        <v>12.590227350175224</v>
      </c>
      <c r="H1145">
        <v>1.7664061571541285</v>
      </c>
      <c r="I1145">
        <v>19.358826543396468</v>
      </c>
      <c r="J1145">
        <v>9.6540023398825975E-2</v>
      </c>
      <c r="K1145">
        <v>4.2017030383182217</v>
      </c>
      <c r="L1145">
        <v>0.32659221889408141</v>
      </c>
      <c r="M1145">
        <v>0.64042293822078455</v>
      </c>
      <c r="N1145">
        <v>0.39656557106741019</v>
      </c>
      <c r="O1145">
        <v>19.493051954829195</v>
      </c>
      <c r="P1145" s="3">
        <v>59.742821831217853</v>
      </c>
      <c r="Q1145" s="3">
        <v>15.83481500987847</v>
      </c>
    </row>
    <row r="1146" spans="1:17" x14ac:dyDescent="0.3">
      <c r="A1146" t="s">
        <v>613</v>
      </c>
      <c r="B1146" s="19" t="s">
        <v>610</v>
      </c>
      <c r="C1146" s="21" t="s">
        <v>611</v>
      </c>
      <c r="D1146" s="24">
        <v>7</v>
      </c>
      <c r="E1146" t="s">
        <v>554</v>
      </c>
      <c r="F1146">
        <v>0.2337373989330665</v>
      </c>
      <c r="G1146">
        <v>13.143389134304838</v>
      </c>
      <c r="H1146">
        <v>1.5947782972292273</v>
      </c>
      <c r="I1146">
        <v>20.57926722465875</v>
      </c>
      <c r="J1146">
        <v>6.8179259380009946E-2</v>
      </c>
      <c r="K1146">
        <v>3.280787370230096</v>
      </c>
      <c r="L1146">
        <v>0.31113953445520592</v>
      </c>
      <c r="M1146">
        <v>0.6805722847922947</v>
      </c>
      <c r="N1146">
        <v>0.36371068362316122</v>
      </c>
      <c r="O1146">
        <v>18.378241065374215</v>
      </c>
      <c r="P1146" s="3">
        <v>62.167160439923656</v>
      </c>
      <c r="Q1146" s="3">
        <v>18.130175380679137</v>
      </c>
    </row>
    <row r="1147" spans="1:17" x14ac:dyDescent="0.3">
      <c r="A1147" t="s">
        <v>614</v>
      </c>
      <c r="B1147" s="19" t="s">
        <v>610</v>
      </c>
      <c r="C1147" s="21" t="s">
        <v>611</v>
      </c>
      <c r="D1147" s="24">
        <v>7</v>
      </c>
      <c r="E1147" t="s">
        <v>554</v>
      </c>
      <c r="F1147">
        <v>0.72847867253158805</v>
      </c>
      <c r="G1147">
        <v>11.479433219081827</v>
      </c>
      <c r="H1147">
        <v>2.5750851505985586</v>
      </c>
      <c r="I1147">
        <v>19.588201715830255</v>
      </c>
      <c r="J1147">
        <v>0.14451687731879462</v>
      </c>
      <c r="K1147">
        <v>3.3847038675990984</v>
      </c>
      <c r="L1147">
        <v>0.40040299404369689</v>
      </c>
      <c r="M1147">
        <v>0.55221627872642742</v>
      </c>
      <c r="N1147">
        <v>0.36569918326287371</v>
      </c>
      <c r="O1147">
        <v>19.902390612359682</v>
      </c>
      <c r="P1147" s="3">
        <v>56.994213487453571</v>
      </c>
      <c r="Q1147" s="3">
        <v>10.013775364966492</v>
      </c>
    </row>
    <row r="1148" spans="1:17" x14ac:dyDescent="0.3">
      <c r="A1148" t="s">
        <v>615</v>
      </c>
      <c r="B1148" s="19" t="s">
        <v>610</v>
      </c>
      <c r="C1148" s="21" t="s">
        <v>611</v>
      </c>
      <c r="D1148" s="24">
        <v>7</v>
      </c>
      <c r="E1148" t="s">
        <v>554</v>
      </c>
      <c r="F1148">
        <v>0.27718266940062691</v>
      </c>
      <c r="G1148">
        <v>15.307683469773572</v>
      </c>
      <c r="H1148">
        <v>1.3718868993191196</v>
      </c>
      <c r="I1148">
        <v>20.427811373672746</v>
      </c>
      <c r="J1148">
        <v>4.1059851371747329E-2</v>
      </c>
      <c r="K1148">
        <v>3.6937243755738813</v>
      </c>
      <c r="L1148">
        <v>0.23339029320311666</v>
      </c>
      <c r="M1148">
        <v>0.31615060379264137</v>
      </c>
      <c r="N1148">
        <v>0.33310873138313313</v>
      </c>
      <c r="O1148">
        <v>15.969315181931314</v>
      </c>
      <c r="P1148" s="3">
        <v>68.774193926829284</v>
      </c>
      <c r="Q1148" s="3">
        <v>10.681260238528782</v>
      </c>
    </row>
    <row r="1149" spans="1:17" x14ac:dyDescent="0.3">
      <c r="A1149" t="s">
        <v>616</v>
      </c>
      <c r="B1149" s="19" t="s">
        <v>610</v>
      </c>
      <c r="C1149" s="21" t="s">
        <v>611</v>
      </c>
      <c r="D1149" s="24">
        <v>7</v>
      </c>
      <c r="E1149" t="s">
        <v>554</v>
      </c>
      <c r="F1149">
        <v>0.60013397172001293</v>
      </c>
      <c r="G1149">
        <v>10.520171148870128</v>
      </c>
      <c r="H1149">
        <v>2.4556148946962844</v>
      </c>
      <c r="I1149">
        <v>20.569112372033821</v>
      </c>
      <c r="J1149">
        <v>6.437445078322207E-2</v>
      </c>
      <c r="K1149">
        <v>4.227914358356994</v>
      </c>
      <c r="L1149">
        <v>0.44848835994080632</v>
      </c>
      <c r="M1149">
        <v>5.3057236085529078E-2</v>
      </c>
      <c r="N1149">
        <v>0.37978434176555886</v>
      </c>
      <c r="O1149">
        <v>18.899833711026584</v>
      </c>
      <c r="P1149" s="3">
        <v>56.120138840264296</v>
      </c>
      <c r="Q1149" s="3">
        <v>1.1087823165471327</v>
      </c>
    </row>
    <row r="1150" spans="1:17" x14ac:dyDescent="0.3">
      <c r="A1150" t="s">
        <v>617</v>
      </c>
      <c r="B1150" s="19" t="s">
        <v>618</v>
      </c>
      <c r="C1150" s="21" t="s">
        <v>619</v>
      </c>
      <c r="D1150" s="24">
        <v>7</v>
      </c>
      <c r="E1150" t="s">
        <v>554</v>
      </c>
      <c r="F1150">
        <v>0.5563981348521273</v>
      </c>
      <c r="G1150">
        <v>9.8898868598650242</v>
      </c>
      <c r="H1150">
        <v>2.9956183246535439</v>
      </c>
      <c r="I1150">
        <v>23.325091956127359</v>
      </c>
      <c r="J1150">
        <v>1.6603004405754022E-2</v>
      </c>
      <c r="K1150">
        <v>5.2958963567951205</v>
      </c>
      <c r="L1150">
        <v>0.28768747261002942</v>
      </c>
      <c r="M1150">
        <v>1.9643999999999999</v>
      </c>
      <c r="N1150">
        <v>0.4104647786063691</v>
      </c>
      <c r="O1150">
        <v>14.380219642558878</v>
      </c>
      <c r="P1150" s="3">
        <v>61.243446527657653</v>
      </c>
      <c r="Q1150" s="3">
        <v>25.38921438133983</v>
      </c>
    </row>
    <row r="1151" spans="1:17" x14ac:dyDescent="0.3">
      <c r="A1151" t="s">
        <v>620</v>
      </c>
      <c r="B1151" s="19" t="s">
        <v>618</v>
      </c>
      <c r="C1151" s="21" t="s">
        <v>619</v>
      </c>
      <c r="D1151" s="24">
        <v>7</v>
      </c>
      <c r="E1151" t="s">
        <v>554</v>
      </c>
      <c r="F1151">
        <v>0.43028122428564508</v>
      </c>
      <c r="G1151">
        <v>9.3471491663358464</v>
      </c>
      <c r="H1151">
        <v>2.7680360137699709</v>
      </c>
      <c r="I1151">
        <v>22.99788625734401</v>
      </c>
      <c r="J1151">
        <v>9.1316524231647128E-2</v>
      </c>
      <c r="K1151">
        <v>5.7675956274408398</v>
      </c>
      <c r="L1151">
        <v>0.27570049458461154</v>
      </c>
      <c r="M1151">
        <v>2.0931999999999999</v>
      </c>
      <c r="N1151">
        <v>0.43369863399918246</v>
      </c>
      <c r="O1151">
        <v>15.546183397360949</v>
      </c>
      <c r="P1151" s="3">
        <v>58.009274549373799</v>
      </c>
      <c r="Q1151" s="3">
        <v>28.18221851495365</v>
      </c>
    </row>
    <row r="1152" spans="1:17" x14ac:dyDescent="0.3">
      <c r="A1152" t="s">
        <v>621</v>
      </c>
      <c r="B1152" s="19" t="s">
        <v>622</v>
      </c>
      <c r="C1152" s="21" t="s">
        <v>623</v>
      </c>
      <c r="D1152" s="24">
        <v>7</v>
      </c>
      <c r="E1152" t="s">
        <v>554</v>
      </c>
      <c r="F1152">
        <v>1.2166572548766517</v>
      </c>
      <c r="G1152">
        <v>4.872578404128622</v>
      </c>
      <c r="H1152">
        <v>4.8533250948892217</v>
      </c>
      <c r="I1152">
        <v>22.99788625734401</v>
      </c>
      <c r="J1152">
        <v>7.4713519825893096E-2</v>
      </c>
      <c r="K1152">
        <v>8.933698307684077</v>
      </c>
      <c r="L1152">
        <v>0.40156376385149944</v>
      </c>
      <c r="M1152">
        <v>8.2104889169610951E-2</v>
      </c>
      <c r="N1152">
        <v>0.35625244935647127</v>
      </c>
      <c r="O1152">
        <v>13.60291047269083</v>
      </c>
      <c r="P1152" s="3">
        <v>45.146267494834731</v>
      </c>
      <c r="Q1152" s="3">
        <v>0.87023772018047696</v>
      </c>
    </row>
    <row r="1153" spans="1:17" x14ac:dyDescent="0.3">
      <c r="A1153" t="s">
        <v>621</v>
      </c>
      <c r="B1153" s="19" t="s">
        <v>622</v>
      </c>
      <c r="C1153" s="21" t="s">
        <v>623</v>
      </c>
      <c r="D1153" s="24">
        <v>7</v>
      </c>
      <c r="E1153" t="s">
        <v>554</v>
      </c>
      <c r="F1153">
        <v>1.1053776279062262</v>
      </c>
      <c r="G1153">
        <v>4.9027304982135771</v>
      </c>
      <c r="H1153">
        <v>3.7736322711625028</v>
      </c>
      <c r="I1153">
        <v>23.745784997420238</v>
      </c>
      <c r="J1153">
        <v>8.3015022028770119E-2</v>
      </c>
      <c r="K1153">
        <v>8.6478199618381861</v>
      </c>
      <c r="L1153">
        <v>0.44951167595317099</v>
      </c>
      <c r="M1153">
        <v>8.2104889169610951E-2</v>
      </c>
      <c r="N1153">
        <v>0.35625244935647127</v>
      </c>
      <c r="O1153">
        <v>14.069295974611659</v>
      </c>
      <c r="P1153" s="3">
        <v>44.465159451231401</v>
      </c>
      <c r="Q1153" s="3">
        <v>1.1164459742928134</v>
      </c>
    </row>
    <row r="1154" spans="1:17" x14ac:dyDescent="0.3">
      <c r="A1154" t="s">
        <v>624</v>
      </c>
      <c r="B1154" s="19" t="s">
        <v>625</v>
      </c>
      <c r="C1154" s="21" t="s">
        <v>626</v>
      </c>
      <c r="D1154" s="24">
        <v>7</v>
      </c>
      <c r="E1154" t="s">
        <v>554</v>
      </c>
      <c r="F1154">
        <v>0.47827693098111163</v>
      </c>
      <c r="G1154">
        <v>10.403187842160815</v>
      </c>
      <c r="H1154">
        <v>2.2470765947089149</v>
      </c>
      <c r="I1154">
        <v>21.002289280959296</v>
      </c>
      <c r="J1154">
        <v>6.2379365010007695E-2</v>
      </c>
      <c r="K1154">
        <v>5.9865410868380122</v>
      </c>
      <c r="L1154">
        <v>0.44624598938393889</v>
      </c>
      <c r="M1154">
        <v>1.7522955197653136</v>
      </c>
      <c r="N1154">
        <v>0.39884301027049096</v>
      </c>
      <c r="O1154">
        <v>17.388424651208013</v>
      </c>
      <c r="P1154" s="3">
        <v>57.888684515636612</v>
      </c>
      <c r="Q1154" s="3">
        <v>28.808555478326909</v>
      </c>
    </row>
    <row r="1155" spans="1:17" x14ac:dyDescent="0.3">
      <c r="A1155" t="s">
        <v>627</v>
      </c>
      <c r="B1155" s="19" t="s">
        <v>625</v>
      </c>
      <c r="C1155" s="21" t="s">
        <v>626</v>
      </c>
      <c r="D1155" s="24">
        <v>7</v>
      </c>
      <c r="E1155" t="s">
        <v>554</v>
      </c>
      <c r="F1155">
        <v>0.59504312312762442</v>
      </c>
      <c r="G1155">
        <v>11.131880237583115</v>
      </c>
      <c r="H1155">
        <v>2.5579150215536059</v>
      </c>
      <c r="I1155">
        <v>18.970440203620534</v>
      </c>
      <c r="J1155">
        <v>4.089580907108506E-2</v>
      </c>
      <c r="K1155">
        <v>6.4267164374536048</v>
      </c>
      <c r="L1155">
        <v>0.48509172596830152</v>
      </c>
      <c r="M1155">
        <v>1.7532460404272427</v>
      </c>
      <c r="N1155">
        <v>0.42582551132660551</v>
      </c>
      <c r="O1155">
        <v>18.637325667070936</v>
      </c>
      <c r="P1155" s="3">
        <v>57.848193038376408</v>
      </c>
      <c r="Q1155" s="3">
        <v>26.236347321322071</v>
      </c>
    </row>
    <row r="1156" spans="1:17" x14ac:dyDescent="0.3">
      <c r="A1156" t="s">
        <v>628</v>
      </c>
      <c r="B1156" s="19" t="s">
        <v>500</v>
      </c>
      <c r="C1156" s="21" t="s">
        <v>501</v>
      </c>
      <c r="D1156" s="24">
        <v>7</v>
      </c>
      <c r="E1156" t="s">
        <v>629</v>
      </c>
      <c r="F1156">
        <v>0.34867616450733308</v>
      </c>
      <c r="G1156">
        <v>17.005781063914249</v>
      </c>
      <c r="H1156">
        <v>1.5189796098508253</v>
      </c>
      <c r="I1156">
        <v>19.819316612020039</v>
      </c>
      <c r="J1156">
        <v>2.4904506608631034E-2</v>
      </c>
      <c r="K1156">
        <v>2.2584389321825347</v>
      </c>
      <c r="L1156">
        <v>0.23374607149564894</v>
      </c>
      <c r="M1156">
        <v>0.45636634230108758</v>
      </c>
      <c r="N1156">
        <v>0.34850783089220017</v>
      </c>
      <c r="O1156">
        <v>15.623914314347754</v>
      </c>
      <c r="P1156" s="3">
        <v>71.435873177328162</v>
      </c>
      <c r="Q1156" s="3">
        <v>13.487856544742375</v>
      </c>
    </row>
    <row r="1157" spans="1:17" x14ac:dyDescent="0.3">
      <c r="A1157" t="s">
        <v>628</v>
      </c>
      <c r="B1157" s="19" t="s">
        <v>630</v>
      </c>
      <c r="C1157" s="21" t="s">
        <v>502</v>
      </c>
      <c r="D1157" s="24">
        <v>7</v>
      </c>
      <c r="E1157" t="s">
        <v>629</v>
      </c>
      <c r="F1157">
        <v>0.32642023911324802</v>
      </c>
      <c r="G1157">
        <v>16.698229704247716</v>
      </c>
      <c r="H1157">
        <v>1.3707864771824518</v>
      </c>
      <c r="I1157">
        <v>20.137173576552435</v>
      </c>
      <c r="J1157">
        <v>2.2414055947767929E-2</v>
      </c>
      <c r="K1157">
        <v>2.3942311464593327</v>
      </c>
      <c r="L1157">
        <v>0.26371351655919367</v>
      </c>
      <c r="M1157">
        <v>0.65680000000000005</v>
      </c>
      <c r="N1157">
        <v>0.34076321242792906</v>
      </c>
      <c r="O1157">
        <v>15.507317938867546</v>
      </c>
      <c r="P1157" s="3">
        <v>71.215810199117698</v>
      </c>
      <c r="Q1157" s="3">
        <v>19.912738084865783</v>
      </c>
    </row>
    <row r="1158" spans="1:17" x14ac:dyDescent="0.3">
      <c r="A1158" t="s">
        <v>628</v>
      </c>
      <c r="B1158" s="19" t="s">
        <v>631</v>
      </c>
      <c r="C1158" s="21" t="s">
        <v>502</v>
      </c>
      <c r="D1158" s="24">
        <v>7</v>
      </c>
      <c r="E1158" t="s">
        <v>629</v>
      </c>
      <c r="F1158">
        <v>0.35609480630536144</v>
      </c>
      <c r="G1158">
        <v>16.981659388646289</v>
      </c>
      <c r="H1158">
        <v>1.6618801306381852</v>
      </c>
      <c r="I1158">
        <v>19.819316612020039</v>
      </c>
      <c r="J1158">
        <v>3.3206008811508043E-2</v>
      </c>
      <c r="K1158">
        <v>2.4228189810439216</v>
      </c>
      <c r="L1158">
        <v>0.27570049458461154</v>
      </c>
      <c r="M1158">
        <v>0.71839999999999993</v>
      </c>
      <c r="N1158">
        <v>0.35625244935647127</v>
      </c>
      <c r="O1158">
        <v>15.429587021880742</v>
      </c>
      <c r="P1158" s="3">
        <v>71.661755198810027</v>
      </c>
      <c r="Q1158" s="3">
        <v>18.32210500055692</v>
      </c>
    </row>
    <row r="1159" spans="1:17" x14ac:dyDescent="0.3">
      <c r="A1159" t="s">
        <v>632</v>
      </c>
      <c r="B1159" s="19" t="s">
        <v>631</v>
      </c>
      <c r="C1159" s="21" t="s">
        <v>502</v>
      </c>
      <c r="D1159" s="24">
        <v>7</v>
      </c>
      <c r="E1159" t="s">
        <v>629</v>
      </c>
      <c r="F1159">
        <v>0.44511850788170182</v>
      </c>
      <c r="G1159">
        <v>16.788685986502578</v>
      </c>
      <c r="H1159">
        <v>1.8047806514255451</v>
      </c>
      <c r="I1159">
        <v>19.356554266597872</v>
      </c>
      <c r="J1159">
        <v>3.3206008811508043E-2</v>
      </c>
      <c r="K1159">
        <v>2.4013781051054797</v>
      </c>
      <c r="L1159">
        <v>0.31166142866086527</v>
      </c>
      <c r="M1159">
        <v>0.60899999999999999</v>
      </c>
      <c r="N1159">
        <v>0.34850783089220017</v>
      </c>
      <c r="O1159">
        <v>16.199123100050109</v>
      </c>
      <c r="P1159" s="3">
        <v>70.425564374360718</v>
      </c>
      <c r="Q1159" s="3">
        <v>14.901178434575208</v>
      </c>
    </row>
    <row r="1160" spans="1:17" x14ac:dyDescent="0.3">
      <c r="A1160" t="s">
        <v>633</v>
      </c>
      <c r="B1160" s="19" t="s">
        <v>631</v>
      </c>
      <c r="C1160" s="21" t="s">
        <v>502</v>
      </c>
      <c r="D1160" s="24">
        <v>7</v>
      </c>
      <c r="E1160" t="s">
        <v>629</v>
      </c>
      <c r="F1160">
        <v>0.20030332854676583</v>
      </c>
      <c r="G1160">
        <v>16.981659388646289</v>
      </c>
      <c r="H1160">
        <v>1.0532297643216524</v>
      </c>
      <c r="I1160">
        <v>21.408601434682023</v>
      </c>
      <c r="J1160">
        <v>1.6603004405754022E-2</v>
      </c>
      <c r="K1160">
        <v>2.4085250637516271</v>
      </c>
      <c r="L1160">
        <v>0.18579815939397734</v>
      </c>
      <c r="M1160">
        <v>0.73899999999999999</v>
      </c>
      <c r="N1160">
        <v>0.34850783089220017</v>
      </c>
      <c r="O1160">
        <v>14.387992734257558</v>
      </c>
      <c r="P1160" s="3">
        <v>73.059388591334724</v>
      </c>
      <c r="Q1160" s="3">
        <v>26.6918095270564</v>
      </c>
    </row>
    <row r="1161" spans="1:17" x14ac:dyDescent="0.3">
      <c r="A1161" t="s">
        <v>628</v>
      </c>
      <c r="B1161" s="19" t="s">
        <v>634</v>
      </c>
      <c r="C1161" s="21" t="s">
        <v>502</v>
      </c>
      <c r="D1161" s="24">
        <v>7</v>
      </c>
      <c r="E1161" t="s">
        <v>629</v>
      </c>
      <c r="F1161">
        <v>0.32493651075364233</v>
      </c>
      <c r="G1161">
        <v>16.698229704247716</v>
      </c>
      <c r="H1161">
        <v>1.3707864771824518</v>
      </c>
      <c r="I1161">
        <v>20.137173576552435</v>
      </c>
      <c r="J1161">
        <v>2.2414055947767929E-2</v>
      </c>
      <c r="K1161">
        <v>2.3942311464593327</v>
      </c>
      <c r="L1161">
        <v>0.26371351655919367</v>
      </c>
      <c r="M1161">
        <v>0.65889999999999993</v>
      </c>
      <c r="N1161">
        <v>0.35392906381718997</v>
      </c>
      <c r="O1161">
        <v>15.507317938867546</v>
      </c>
      <c r="P1161" s="3">
        <v>71.215810199117698</v>
      </c>
      <c r="Q1161" s="3">
        <v>19.963695121258819</v>
      </c>
    </row>
    <row r="1162" spans="1:17" x14ac:dyDescent="0.3">
      <c r="A1162" t="s">
        <v>628</v>
      </c>
      <c r="B1162" s="19" t="s">
        <v>635</v>
      </c>
      <c r="C1162" s="21" t="s">
        <v>502</v>
      </c>
      <c r="D1162" s="24">
        <v>7</v>
      </c>
      <c r="E1162" t="s">
        <v>629</v>
      </c>
      <c r="F1162">
        <v>0.27448974652704944</v>
      </c>
      <c r="G1162">
        <v>17.904313467645892</v>
      </c>
      <c r="H1162">
        <v>1.3443234177773853</v>
      </c>
      <c r="I1162">
        <v>20.109127373799581</v>
      </c>
      <c r="J1162">
        <v>2.4904506608631034E-2</v>
      </c>
      <c r="K1162">
        <v>2.029736255505822</v>
      </c>
      <c r="L1162">
        <v>0.21576560445752208</v>
      </c>
      <c r="M1162">
        <v>0.68420000000000003</v>
      </c>
      <c r="N1162">
        <v>0.34850783089220017</v>
      </c>
      <c r="O1162">
        <v>14.745554952396859</v>
      </c>
      <c r="P1162" s="3">
        <v>73.613926740666926</v>
      </c>
      <c r="Q1162" s="3">
        <v>20.892909401976318</v>
      </c>
    </row>
    <row r="1163" spans="1:17" x14ac:dyDescent="0.3">
      <c r="A1163" t="s">
        <v>628</v>
      </c>
      <c r="B1163" s="19" t="s">
        <v>636</v>
      </c>
      <c r="C1163" s="21" t="s">
        <v>502</v>
      </c>
      <c r="D1163" s="24">
        <v>7</v>
      </c>
      <c r="E1163" t="s">
        <v>629</v>
      </c>
      <c r="F1163">
        <v>0.46737443327578693</v>
      </c>
      <c r="G1163">
        <v>16.885172687574432</v>
      </c>
      <c r="H1163">
        <v>2.0111925147850647</v>
      </c>
      <c r="I1163">
        <v>19.071417871943812</v>
      </c>
      <c r="J1163">
        <v>3.3206008811508043E-2</v>
      </c>
      <c r="K1163">
        <v>2.0726180073827059</v>
      </c>
      <c r="L1163">
        <v>0.36560282977524577</v>
      </c>
      <c r="M1163">
        <v>0.71157570613663745</v>
      </c>
      <c r="N1163">
        <v>0.37174168628501347</v>
      </c>
      <c r="O1163">
        <v>16.867608986136627</v>
      </c>
      <c r="P1163" s="3">
        <v>69.697592928183653</v>
      </c>
      <c r="Q1163" s="3">
        <v>15.511966951787775</v>
      </c>
    </row>
    <row r="1164" spans="1:17" x14ac:dyDescent="0.3">
      <c r="A1164" t="s">
        <v>628</v>
      </c>
      <c r="B1164" s="19" t="s">
        <v>637</v>
      </c>
      <c r="C1164" s="21" t="s">
        <v>502</v>
      </c>
      <c r="D1164" s="24">
        <v>7</v>
      </c>
      <c r="E1164" t="s">
        <v>629</v>
      </c>
      <c r="F1164">
        <v>0.32864583165265654</v>
      </c>
      <c r="G1164">
        <v>17.48821456927352</v>
      </c>
      <c r="H1164">
        <v>1.5983687880660251</v>
      </c>
      <c r="I1164">
        <v>19.333182430970492</v>
      </c>
      <c r="J1164">
        <v>2.4904506608631034E-2</v>
      </c>
      <c r="K1164">
        <v>2.1012058419672948</v>
      </c>
      <c r="L1164">
        <v>0.24872979402742129</v>
      </c>
      <c r="M1164">
        <v>0.70000000000000007</v>
      </c>
      <c r="N1164">
        <v>0.34076321242792906</v>
      </c>
      <c r="O1164">
        <v>15.89597252380157</v>
      </c>
      <c r="P1164" s="3">
        <v>71.65392437605513</v>
      </c>
      <c r="Q1164" s="3">
        <v>18.517751695294805</v>
      </c>
    </row>
    <row r="1165" spans="1:17" x14ac:dyDescent="0.3">
      <c r="A1165" t="s">
        <v>628</v>
      </c>
      <c r="B1165" s="19" t="s">
        <v>551</v>
      </c>
      <c r="C1165" s="21" t="s">
        <v>502</v>
      </c>
      <c r="D1165" s="24">
        <v>7</v>
      </c>
      <c r="E1165" t="s">
        <v>629</v>
      </c>
      <c r="F1165">
        <v>0.32642023911324802</v>
      </c>
      <c r="G1165">
        <v>16.999750645097262</v>
      </c>
      <c r="H1165">
        <v>1.6565875187571717</v>
      </c>
      <c r="I1165">
        <v>19.300461861092156</v>
      </c>
      <c r="J1165">
        <v>2.1583905727480229E-2</v>
      </c>
      <c r="K1165">
        <v>2.1012058419672948</v>
      </c>
      <c r="L1165">
        <v>0.24872979402742129</v>
      </c>
      <c r="M1165">
        <v>0.70000000000000007</v>
      </c>
      <c r="N1165">
        <v>0.34076321242792906</v>
      </c>
      <c r="O1165">
        <v>15.89597252380157</v>
      </c>
      <c r="P1165" s="3">
        <v>71.075029199166352</v>
      </c>
      <c r="Q1165" s="3">
        <v>17.984005045913793</v>
      </c>
    </row>
    <row r="1166" spans="1:17" x14ac:dyDescent="0.3">
      <c r="A1166" t="s">
        <v>628</v>
      </c>
      <c r="B1166" s="19" t="s">
        <v>552</v>
      </c>
      <c r="C1166" s="21" t="s">
        <v>502</v>
      </c>
      <c r="D1166" s="24">
        <v>7</v>
      </c>
      <c r="E1166" t="s">
        <v>629</v>
      </c>
      <c r="F1166">
        <v>0.43769986608367345</v>
      </c>
      <c r="G1166">
        <v>15.100168717745136</v>
      </c>
      <c r="H1166">
        <v>1.1273263306558388</v>
      </c>
      <c r="I1166">
        <v>21.524092230409448</v>
      </c>
      <c r="J1166">
        <v>4.9809013217262069E-2</v>
      </c>
      <c r="K1166">
        <v>2.8230486652281681</v>
      </c>
      <c r="L1166">
        <v>0.23973956050835787</v>
      </c>
      <c r="M1166">
        <v>0.65200000000000002</v>
      </c>
      <c r="N1166">
        <v>0.38723092321355573</v>
      </c>
      <c r="O1166">
        <v>15.802695423417402</v>
      </c>
      <c r="P1166" s="3">
        <v>68.706282841623917</v>
      </c>
      <c r="Q1166" s="3">
        <v>23.084317781877765</v>
      </c>
    </row>
    <row r="1167" spans="1:17" x14ac:dyDescent="0.3">
      <c r="A1167" t="s">
        <v>628</v>
      </c>
      <c r="B1167" s="19" t="s">
        <v>638</v>
      </c>
      <c r="C1167" s="21" t="s">
        <v>502</v>
      </c>
      <c r="D1167" s="24">
        <v>7</v>
      </c>
      <c r="E1167" t="s">
        <v>629</v>
      </c>
      <c r="F1167">
        <v>0.35609480630536144</v>
      </c>
      <c r="G1167">
        <v>15.980609865025803</v>
      </c>
      <c r="H1167">
        <v>1.5877835643039986</v>
      </c>
      <c r="I1167">
        <v>20.764468281890938</v>
      </c>
      <c r="J1167">
        <v>2.3244206168055632E-2</v>
      </c>
      <c r="K1167">
        <v>2.715844285535959</v>
      </c>
      <c r="L1167">
        <v>0.17980467038126841</v>
      </c>
      <c r="M1167">
        <v>0.56790000000000007</v>
      </c>
      <c r="N1167">
        <v>0.34076321242792906</v>
      </c>
      <c r="O1167">
        <v>15.701645231334558</v>
      </c>
      <c r="P1167" s="3">
        <v>70.046403121581605</v>
      </c>
      <c r="Q1167" s="3">
        <v>15.654727585732328</v>
      </c>
    </row>
    <row r="1168" spans="1:17" x14ac:dyDescent="0.3">
      <c r="A1168" t="s">
        <v>639</v>
      </c>
      <c r="B1168" s="19" t="s">
        <v>640</v>
      </c>
      <c r="C1168" s="21" t="s">
        <v>641</v>
      </c>
      <c r="D1168" s="24">
        <v>7</v>
      </c>
      <c r="E1168" t="s">
        <v>629</v>
      </c>
      <c r="F1168">
        <v>0.40802529889156003</v>
      </c>
      <c r="G1168">
        <v>11.674890829694322</v>
      </c>
      <c r="H1168">
        <v>2.2176043781445847</v>
      </c>
      <c r="I1168">
        <v>22.306079922773499</v>
      </c>
      <c r="J1168">
        <v>2.739495726949414E-2</v>
      </c>
      <c r="K1168">
        <v>5.5960686199333054</v>
      </c>
      <c r="L1168">
        <v>0.20977211544481314</v>
      </c>
      <c r="M1168">
        <v>0.31494067070643267</v>
      </c>
      <c r="N1168">
        <v>0.30513796749228195</v>
      </c>
      <c r="O1168">
        <v>12.841147486220143</v>
      </c>
      <c r="P1168" s="3">
        <v>67.627024658734612</v>
      </c>
      <c r="Q1168" s="3">
        <v>6.863840843092019</v>
      </c>
    </row>
    <row r="1169" spans="1:17" x14ac:dyDescent="0.3">
      <c r="A1169" t="s">
        <v>639</v>
      </c>
      <c r="B1169" s="19" t="s">
        <v>642</v>
      </c>
      <c r="C1169" s="21" t="s">
        <v>502</v>
      </c>
      <c r="D1169" s="24">
        <v>7</v>
      </c>
      <c r="E1169" t="s">
        <v>629</v>
      </c>
      <c r="F1169">
        <v>0.3746414108004324</v>
      </c>
      <c r="G1169">
        <v>11.705042923779278</v>
      </c>
      <c r="H1169">
        <v>2.3128713920028243</v>
      </c>
      <c r="I1169">
        <v>21.389903966180118</v>
      </c>
      <c r="J1169">
        <v>3.1545708370932644E-2</v>
      </c>
      <c r="K1169">
        <v>5.4745703229488019</v>
      </c>
      <c r="L1169">
        <v>0.23374607149564894</v>
      </c>
      <c r="M1169">
        <v>0.57040000000000002</v>
      </c>
      <c r="N1169">
        <v>0.34850783089220017</v>
      </c>
      <c r="O1169">
        <v>12.483585268080841</v>
      </c>
      <c r="P1169" s="3">
        <v>68.29805104607351</v>
      </c>
      <c r="Q1169" s="3">
        <v>11.345717243374835</v>
      </c>
    </row>
    <row r="1170" spans="1:17" x14ac:dyDescent="0.3">
      <c r="A1170" t="s">
        <v>643</v>
      </c>
      <c r="B1170" s="19" t="s">
        <v>644</v>
      </c>
      <c r="C1170" s="21" t="s">
        <v>645</v>
      </c>
      <c r="D1170" s="24">
        <v>7</v>
      </c>
      <c r="E1170" t="s">
        <v>629</v>
      </c>
      <c r="F1170">
        <v>0.5022420497265202</v>
      </c>
      <c r="G1170">
        <v>8.8104418916236593</v>
      </c>
      <c r="H1170">
        <v>3.5566351840409562</v>
      </c>
      <c r="I1170">
        <v>21.277719155168686</v>
      </c>
      <c r="J1170">
        <v>4.3997961675248158E-2</v>
      </c>
      <c r="K1170">
        <v>6.6252306649785107</v>
      </c>
      <c r="L1170">
        <v>0.35601324735491141</v>
      </c>
      <c r="M1170">
        <v>0.2668408898012356</v>
      </c>
      <c r="N1170">
        <v>0.35702691120289842</v>
      </c>
      <c r="O1170">
        <v>13.937153415734091</v>
      </c>
      <c r="P1170" s="3">
        <v>59.225065654547272</v>
      </c>
      <c r="Q1170" s="3">
        <v>3.7473973403487926</v>
      </c>
    </row>
    <row r="1171" spans="1:17" x14ac:dyDescent="0.3">
      <c r="A1171" t="s">
        <v>646</v>
      </c>
      <c r="B1171" s="19" t="s">
        <v>647</v>
      </c>
      <c r="C1171" s="21" t="s">
        <v>648</v>
      </c>
      <c r="D1171" s="24">
        <v>7</v>
      </c>
      <c r="E1171" t="s">
        <v>629</v>
      </c>
      <c r="F1171">
        <v>1.4688910760096159</v>
      </c>
      <c r="G1171">
        <v>3.413217050416832</v>
      </c>
      <c r="H1171">
        <v>5.334952776061435</v>
      </c>
      <c r="I1171">
        <v>23.315743221876406</v>
      </c>
      <c r="J1171">
        <v>0.14112553744890921</v>
      </c>
      <c r="K1171">
        <v>7.3756613228239738</v>
      </c>
      <c r="L1171">
        <v>0.58736192324547676</v>
      </c>
      <c r="M1171">
        <v>2.7400000000000004E-2</v>
      </c>
      <c r="N1171">
        <v>0.37174168628501347</v>
      </c>
      <c r="O1171">
        <v>15.499544847168867</v>
      </c>
      <c r="P1171" s="3">
        <v>33.598070162508627</v>
      </c>
      <c r="Q1171" s="3">
        <v>0.26580812943564763</v>
      </c>
    </row>
    <row r="1172" spans="1:17" x14ac:dyDescent="0.3">
      <c r="A1172" t="s">
        <v>649</v>
      </c>
      <c r="B1172" s="19" t="s">
        <v>500</v>
      </c>
      <c r="C1172" s="21" t="s">
        <v>501</v>
      </c>
      <c r="D1172" s="24">
        <v>7</v>
      </c>
      <c r="E1172" t="s">
        <v>629</v>
      </c>
      <c r="F1172">
        <v>0.63800319463043931</v>
      </c>
      <c r="G1172">
        <v>9.7089742953553007</v>
      </c>
      <c r="H1172">
        <v>3.1279336216788769</v>
      </c>
      <c r="I1172">
        <v>23.325091956127359</v>
      </c>
      <c r="J1172">
        <v>3.3206008811508043E-2</v>
      </c>
      <c r="K1172">
        <v>5.1886919771029119</v>
      </c>
      <c r="L1172">
        <v>0.41954423088962628</v>
      </c>
      <c r="M1172">
        <v>0.42399999999999999</v>
      </c>
      <c r="N1172">
        <v>0.37174168628501347</v>
      </c>
      <c r="O1172">
        <v>14.302488725572072</v>
      </c>
      <c r="P1172" s="3">
        <v>60.933433494075167</v>
      </c>
      <c r="Q1172" s="3">
        <v>6.5718872992969803</v>
      </c>
    </row>
    <row r="1173" spans="1:17" x14ac:dyDescent="0.3">
      <c r="A1173" t="s">
        <v>649</v>
      </c>
      <c r="B1173" s="19" t="s">
        <v>650</v>
      </c>
      <c r="C1173" s="21" t="s">
        <v>502</v>
      </c>
      <c r="D1173" s="24">
        <v>7</v>
      </c>
      <c r="E1173" t="s">
        <v>629</v>
      </c>
      <c r="F1173">
        <v>0.62316591103438257</v>
      </c>
      <c r="G1173">
        <v>10.004464817387852</v>
      </c>
      <c r="H1173">
        <v>3.0062035484155705</v>
      </c>
      <c r="I1173">
        <v>22.680029292811614</v>
      </c>
      <c r="J1173">
        <v>4.150751101438506E-2</v>
      </c>
      <c r="K1173">
        <v>5.0743406387645553</v>
      </c>
      <c r="L1173">
        <v>0.41954423088962628</v>
      </c>
      <c r="M1173">
        <v>0.39680000000000004</v>
      </c>
      <c r="N1173">
        <v>0.40272016014209799</v>
      </c>
      <c r="O1173">
        <v>14.489042926340405</v>
      </c>
      <c r="P1173" s="3">
        <v>61.337865528335797</v>
      </c>
      <c r="Q1173" s="3">
        <v>6.4103992352766204</v>
      </c>
    </row>
    <row r="1174" spans="1:17" x14ac:dyDescent="0.3">
      <c r="A1174" t="s">
        <v>649</v>
      </c>
      <c r="B1174" s="19" t="s">
        <v>651</v>
      </c>
      <c r="C1174" s="21" t="s">
        <v>502</v>
      </c>
      <c r="D1174" s="24">
        <v>7</v>
      </c>
      <c r="E1174" t="s">
        <v>629</v>
      </c>
      <c r="F1174">
        <v>0.60684489907872008</v>
      </c>
      <c r="G1174">
        <v>9.8356130905121066</v>
      </c>
      <c r="H1174">
        <v>2.8421325801041575</v>
      </c>
      <c r="I1174">
        <v>22.708075495564469</v>
      </c>
      <c r="J1174">
        <v>2.739495726949414E-2</v>
      </c>
      <c r="K1174">
        <v>5.0386058455338194</v>
      </c>
      <c r="L1174">
        <v>0.38358329681337261</v>
      </c>
      <c r="M1174">
        <v>0.40299999999999997</v>
      </c>
      <c r="N1174">
        <v>0.36322260597431527</v>
      </c>
      <c r="O1174">
        <v>14.240303991982628</v>
      </c>
      <c r="P1174" s="3">
        <v>61.344855446884111</v>
      </c>
      <c r="Q1174" s="3">
        <v>6.8537798735154558</v>
      </c>
    </row>
    <row r="1175" spans="1:17" x14ac:dyDescent="0.3">
      <c r="A1175" t="s">
        <v>649</v>
      </c>
      <c r="B1175" s="19" t="s">
        <v>652</v>
      </c>
      <c r="C1175" s="21" t="s">
        <v>502</v>
      </c>
      <c r="D1175" s="24">
        <v>7</v>
      </c>
      <c r="E1175" t="s">
        <v>629</v>
      </c>
      <c r="F1175">
        <v>0.59349134384226909</v>
      </c>
      <c r="G1175">
        <v>8.8044114728066685</v>
      </c>
      <c r="H1175">
        <v>3.0961779503927969</v>
      </c>
      <c r="I1175">
        <v>23.638274553534281</v>
      </c>
      <c r="J1175">
        <v>3.3206008811508043E-2</v>
      </c>
      <c r="K1175">
        <v>5.3030433154412675</v>
      </c>
      <c r="L1175">
        <v>0.41954423088962628</v>
      </c>
      <c r="M1175">
        <v>0.47600000000000003</v>
      </c>
      <c r="N1175">
        <v>0.37948630474928463</v>
      </c>
      <c r="O1175">
        <v>14.395765825956238</v>
      </c>
      <c r="P1175" s="3">
        <v>58.424315653046577</v>
      </c>
      <c r="Q1175" s="3">
        <v>7.3884036209864394</v>
      </c>
    </row>
    <row r="1176" spans="1:17" x14ac:dyDescent="0.3">
      <c r="A1176" t="s">
        <v>649</v>
      </c>
      <c r="B1176" s="19" t="s">
        <v>653</v>
      </c>
      <c r="C1176" s="21" t="s">
        <v>502</v>
      </c>
      <c r="D1176" s="24">
        <v>7</v>
      </c>
      <c r="E1176" t="s">
        <v>629</v>
      </c>
      <c r="F1176">
        <v>0.57123541844818404</v>
      </c>
      <c r="G1176">
        <v>10.601476280269946</v>
      </c>
      <c r="H1176">
        <v>4.0806037602612761</v>
      </c>
      <c r="I1176">
        <v>20.098267143077578</v>
      </c>
      <c r="J1176">
        <v>2.9055257710069542E-2</v>
      </c>
      <c r="K1176">
        <v>5.731860834210103</v>
      </c>
      <c r="L1176">
        <v>1.0009126651223941</v>
      </c>
      <c r="M1176">
        <v>0.42300000000000004</v>
      </c>
      <c r="N1176">
        <v>0.4104647786063691</v>
      </c>
      <c r="O1176">
        <v>15.600595039251711</v>
      </c>
      <c r="P1176" s="3">
        <v>60.958832942680942</v>
      </c>
      <c r="Q1176" s="3">
        <v>5.1046400359817712</v>
      </c>
    </row>
    <row r="1177" spans="1:17" x14ac:dyDescent="0.3">
      <c r="A1177" t="s">
        <v>649</v>
      </c>
      <c r="B1177" s="19" t="s">
        <v>654</v>
      </c>
      <c r="C1177" s="21" t="s">
        <v>502</v>
      </c>
      <c r="D1177" s="24">
        <v>7</v>
      </c>
      <c r="E1177" t="s">
        <v>629</v>
      </c>
      <c r="F1177">
        <v>0.66025912002452436</v>
      </c>
      <c r="G1177">
        <v>7.2003200674870973</v>
      </c>
      <c r="H1177">
        <v>3.8000953305675695</v>
      </c>
      <c r="I1177">
        <v>24.101036898956448</v>
      </c>
      <c r="J1177">
        <v>3.3206008811508043E-2</v>
      </c>
      <c r="K1177">
        <v>6.0749148492251717</v>
      </c>
      <c r="L1177">
        <v>0.56938145620734992</v>
      </c>
      <c r="M1177">
        <v>0.42899999999999999</v>
      </c>
      <c r="N1177">
        <v>0.36399706782074237</v>
      </c>
      <c r="O1177">
        <v>12.996609320193752</v>
      </c>
      <c r="P1177" s="3">
        <v>56.004258378911004</v>
      </c>
      <c r="Q1177" s="3">
        <v>5.534040625200463</v>
      </c>
    </row>
    <row r="1178" spans="1:17" x14ac:dyDescent="0.3">
      <c r="A1178" t="s">
        <v>649</v>
      </c>
      <c r="B1178" s="19" t="s">
        <v>655</v>
      </c>
      <c r="C1178" s="21" t="s">
        <v>656</v>
      </c>
      <c r="D1178" s="24">
        <v>7</v>
      </c>
      <c r="E1178" t="s">
        <v>629</v>
      </c>
      <c r="F1178">
        <v>0.58978202294325499</v>
      </c>
      <c r="G1178">
        <v>8.7983810539896776</v>
      </c>
      <c r="H1178">
        <v>3.1014705622738106</v>
      </c>
      <c r="I1178">
        <v>23.60087961653047</v>
      </c>
      <c r="J1178">
        <v>3.3206008811508043E-2</v>
      </c>
      <c r="K1178">
        <v>5.2887493981489735</v>
      </c>
      <c r="L1178">
        <v>0.41954423088962628</v>
      </c>
      <c r="M1178">
        <v>9.0000000000000006E-5</v>
      </c>
      <c r="N1178">
        <v>0.37948630474928463</v>
      </c>
      <c r="O1178">
        <v>14.40353891765492</v>
      </c>
      <c r="P1178" s="3">
        <v>58.394557509642084</v>
      </c>
      <c r="Q1178" s="3">
        <v>1.5058180864847761E-3</v>
      </c>
    </row>
    <row r="1179" spans="1:17" x14ac:dyDescent="0.3">
      <c r="A1179" t="s">
        <v>657</v>
      </c>
      <c r="B1179" s="19" t="s">
        <v>500</v>
      </c>
      <c r="C1179" s="21" t="s">
        <v>501</v>
      </c>
      <c r="D1179" s="24">
        <v>7</v>
      </c>
      <c r="E1179" t="s">
        <v>629</v>
      </c>
      <c r="F1179">
        <v>1.2908436728569352</v>
      </c>
      <c r="G1179">
        <v>3.9619851627630012</v>
      </c>
      <c r="H1179">
        <v>5.9277253067349269</v>
      </c>
      <c r="I1179">
        <v>23.091373599853537</v>
      </c>
      <c r="J1179">
        <v>6.2261266521577582E-2</v>
      </c>
      <c r="K1179">
        <v>7.7187153378390425</v>
      </c>
      <c r="L1179">
        <v>0.7072317034996557</v>
      </c>
      <c r="M1179">
        <v>7.8683852120877168E-2</v>
      </c>
      <c r="N1179">
        <v>0.33301859396365791</v>
      </c>
      <c r="O1179">
        <v>13.525179555704025</v>
      </c>
      <c r="P1179" s="3">
        <v>40.229540378207638</v>
      </c>
      <c r="Q1179" s="3">
        <v>0.68410146808932415</v>
      </c>
    </row>
    <row r="1180" spans="1:17" x14ac:dyDescent="0.3">
      <c r="A1180" t="s">
        <v>657</v>
      </c>
      <c r="B1180" s="19" t="s">
        <v>658</v>
      </c>
      <c r="C1180" s="21" t="s">
        <v>502</v>
      </c>
      <c r="D1180" s="24">
        <v>7</v>
      </c>
      <c r="E1180" t="s">
        <v>629</v>
      </c>
      <c r="F1180">
        <v>1.2463318220687651</v>
      </c>
      <c r="G1180">
        <v>4.4142665740373159</v>
      </c>
      <c r="H1180">
        <v>5.2555635978462352</v>
      </c>
      <c r="I1180">
        <v>22.918422016210911</v>
      </c>
      <c r="J1180">
        <v>7.4713519825893096E-2</v>
      </c>
      <c r="K1180">
        <v>7.8616545107619871</v>
      </c>
      <c r="L1180">
        <v>0.73719914856320046</v>
      </c>
      <c r="M1180">
        <v>9.5699999999999993E-2</v>
      </c>
      <c r="N1180">
        <v>0.36399706782074237</v>
      </c>
      <c r="O1180">
        <v>13.284213713044931</v>
      </c>
      <c r="P1180" s="3">
        <v>43.294716401860207</v>
      </c>
      <c r="Q1180" s="3">
        <v>0.93607869245228936</v>
      </c>
    </row>
    <row r="1181" spans="1:17" x14ac:dyDescent="0.3">
      <c r="A1181" t="s">
        <v>657</v>
      </c>
      <c r="B1181" s="19" t="s">
        <v>659</v>
      </c>
      <c r="C1181" s="21" t="s">
        <v>502</v>
      </c>
      <c r="D1181" s="24">
        <v>7</v>
      </c>
      <c r="E1181" t="s">
        <v>629</v>
      </c>
      <c r="F1181">
        <v>1.2314945384727083</v>
      </c>
      <c r="G1181">
        <v>4.450449086939261</v>
      </c>
      <c r="H1181">
        <v>5.2555635978462352</v>
      </c>
      <c r="I1181">
        <v>22.918422016210911</v>
      </c>
      <c r="J1181">
        <v>5.3959764318700573E-2</v>
      </c>
      <c r="K1181">
        <v>7.8545075521158401</v>
      </c>
      <c r="L1181">
        <v>0.67127076942340214</v>
      </c>
      <c r="M1181">
        <v>0.12520000000000001</v>
      </c>
      <c r="N1181">
        <v>0.35005675458505442</v>
      </c>
      <c r="O1181">
        <v>13.789464673459161</v>
      </c>
      <c r="P1181" s="3">
        <v>42.580148141142878</v>
      </c>
      <c r="Q1181" s="3">
        <v>1.2211060829291303</v>
      </c>
    </row>
    <row r="1182" spans="1:17" x14ac:dyDescent="0.3">
      <c r="A1182" t="s">
        <v>657</v>
      </c>
      <c r="B1182" s="19" t="s">
        <v>660</v>
      </c>
      <c r="C1182" s="21" t="s">
        <v>502</v>
      </c>
      <c r="D1182" s="24">
        <v>7</v>
      </c>
      <c r="E1182" t="s">
        <v>629</v>
      </c>
      <c r="F1182">
        <v>1.3205182400490487</v>
      </c>
      <c r="G1182">
        <v>3.298639092894005</v>
      </c>
      <c r="H1182">
        <v>6.1923559007855937</v>
      </c>
      <c r="I1182">
        <v>23.240953347868782</v>
      </c>
      <c r="J1182">
        <v>6.6412017623016087E-2</v>
      </c>
      <c r="K1182">
        <v>7.8044788415928092</v>
      </c>
      <c r="L1182">
        <v>0.91700381894446892</v>
      </c>
      <c r="M1182">
        <v>6.5000000000000002E-2</v>
      </c>
      <c r="N1182">
        <v>0.3175293570351157</v>
      </c>
      <c r="O1182">
        <v>13.696187573074997</v>
      </c>
      <c r="P1182" s="3">
        <v>35.624268385981736</v>
      </c>
      <c r="Q1182" s="3">
        <v>0.5417543967034707</v>
      </c>
    </row>
    <row r="1183" spans="1:17" x14ac:dyDescent="0.3">
      <c r="A1183" t="s">
        <v>657</v>
      </c>
      <c r="B1183" s="19" t="s">
        <v>660</v>
      </c>
      <c r="C1183" s="21" t="s">
        <v>502</v>
      </c>
      <c r="D1183" s="24">
        <v>7</v>
      </c>
      <c r="E1183" t="s">
        <v>629</v>
      </c>
      <c r="F1183">
        <v>1.5059842849997578</v>
      </c>
      <c r="G1183">
        <v>3.0996352719333067</v>
      </c>
      <c r="H1183">
        <v>7.0920999205578603</v>
      </c>
      <c r="I1183">
        <v>23.33911505750379</v>
      </c>
      <c r="J1183">
        <v>6.6412017623016087E-2</v>
      </c>
      <c r="K1183">
        <v>7.7044214205467467</v>
      </c>
      <c r="L1183">
        <v>0.74918612658861838</v>
      </c>
      <c r="M1183">
        <v>4.2000000000000003E-2</v>
      </c>
      <c r="N1183">
        <v>0.3175293570351157</v>
      </c>
      <c r="O1183">
        <v>13.190936612660764</v>
      </c>
      <c r="P1183" s="3">
        <v>35.061258384912101</v>
      </c>
      <c r="Q1183" s="3">
        <v>0.30636987381236641</v>
      </c>
    </row>
    <row r="1184" spans="1:17" x14ac:dyDescent="0.3">
      <c r="A1184" t="s">
        <v>657</v>
      </c>
      <c r="B1184" s="19" t="s">
        <v>654</v>
      </c>
      <c r="C1184" s="21" t="s">
        <v>502</v>
      </c>
      <c r="D1184" s="24">
        <v>7</v>
      </c>
      <c r="E1184" t="s">
        <v>629</v>
      </c>
      <c r="F1184">
        <v>1.3205182400490487</v>
      </c>
      <c r="G1184">
        <v>3.298639092894005</v>
      </c>
      <c r="H1184">
        <v>6.1976485126666079</v>
      </c>
      <c r="I1184">
        <v>23.198884043739497</v>
      </c>
      <c r="J1184">
        <v>6.6412017623016087E-2</v>
      </c>
      <c r="K1184">
        <v>7.7973318829466622</v>
      </c>
      <c r="L1184">
        <v>0.91700381894446892</v>
      </c>
      <c r="M1184">
        <v>6.5000000000000002E-2</v>
      </c>
      <c r="N1184">
        <v>0.3175293570351157</v>
      </c>
      <c r="O1184">
        <v>13.696187573074997</v>
      </c>
      <c r="P1184" s="3">
        <v>35.624268385981736</v>
      </c>
      <c r="Q1184" s="3">
        <v>0.54129425843595624</v>
      </c>
    </row>
    <row r="1185" spans="1:17" x14ac:dyDescent="0.3">
      <c r="A1185" t="s">
        <v>657</v>
      </c>
      <c r="B1185" s="19" t="s">
        <v>654</v>
      </c>
      <c r="C1185" s="21" t="s">
        <v>502</v>
      </c>
      <c r="D1185" s="24">
        <v>7</v>
      </c>
      <c r="E1185" t="s">
        <v>629</v>
      </c>
      <c r="F1185">
        <v>1.5059842849997578</v>
      </c>
      <c r="G1185">
        <v>3.0996352719333067</v>
      </c>
      <c r="H1185">
        <v>7.0973925324388736</v>
      </c>
      <c r="I1185">
        <v>23.301720120499976</v>
      </c>
      <c r="J1185">
        <v>6.6412017623016087E-2</v>
      </c>
      <c r="K1185">
        <v>7.7044214205467467</v>
      </c>
      <c r="L1185">
        <v>0.74918612658861838</v>
      </c>
      <c r="M1185">
        <v>4.2000000000000003E-2</v>
      </c>
      <c r="N1185">
        <v>0.3175293570351157</v>
      </c>
      <c r="O1185">
        <v>13.198709704359446</v>
      </c>
      <c r="P1185" s="3">
        <v>35.047846699225794</v>
      </c>
      <c r="Q1185" s="3">
        <v>0.30614210949721526</v>
      </c>
    </row>
    <row r="1186" spans="1:17" x14ac:dyDescent="0.3">
      <c r="A1186" t="s">
        <v>661</v>
      </c>
      <c r="B1186" s="19" t="s">
        <v>662</v>
      </c>
      <c r="C1186" s="21" t="s">
        <v>663</v>
      </c>
      <c r="D1186" s="24">
        <v>7</v>
      </c>
      <c r="E1186" t="s">
        <v>629</v>
      </c>
      <c r="F1186">
        <v>0.31158295551719128</v>
      </c>
      <c r="G1186">
        <v>17.910343886462879</v>
      </c>
      <c r="H1186">
        <v>1.0902780474887457</v>
      </c>
      <c r="I1186">
        <v>20.193265982058154</v>
      </c>
      <c r="J1186">
        <v>1.5772854185466322E-2</v>
      </c>
      <c r="K1186">
        <v>2.4299659396900686</v>
      </c>
      <c r="L1186">
        <v>0.2037786264321042</v>
      </c>
      <c r="M1186">
        <v>0.4926293350176657</v>
      </c>
      <c r="N1186">
        <v>0.35625244935647127</v>
      </c>
      <c r="O1186">
        <v>14.92433606146651</v>
      </c>
      <c r="P1186" s="3">
        <v>73.385753133611459</v>
      </c>
      <c r="Q1186" s="3">
        <v>18.993573401061592</v>
      </c>
    </row>
    <row r="1187" spans="1:17" x14ac:dyDescent="0.3">
      <c r="A1187" t="s">
        <v>664</v>
      </c>
      <c r="B1187" s="19" t="s">
        <v>665</v>
      </c>
      <c r="C1187" s="21" t="s">
        <v>666</v>
      </c>
      <c r="D1187" s="24">
        <v>7</v>
      </c>
      <c r="E1187" t="s">
        <v>629</v>
      </c>
      <c r="F1187">
        <v>0.84572516497523342</v>
      </c>
      <c r="G1187">
        <v>9.5280617308455735</v>
      </c>
      <c r="H1187">
        <v>3.1755671286079972</v>
      </c>
      <c r="I1187">
        <v>21.829294475974905</v>
      </c>
      <c r="J1187">
        <v>0.11622103084027817</v>
      </c>
      <c r="K1187">
        <v>4.616935285411131</v>
      </c>
      <c r="L1187">
        <v>0.40755725286420841</v>
      </c>
      <c r="M1187">
        <v>0.25158306456388291</v>
      </c>
      <c r="N1187">
        <v>0.37174168628501347</v>
      </c>
      <c r="O1187">
        <v>15.857107065308167</v>
      </c>
      <c r="P1187" s="3">
        <v>57.993861863732398</v>
      </c>
      <c r="Q1187" s="3">
        <v>3.9488171622356849</v>
      </c>
    </row>
    <row r="1188" spans="1:17" x14ac:dyDescent="0.3">
      <c r="A1188" t="s">
        <v>667</v>
      </c>
      <c r="B1188" s="19" t="s">
        <v>500</v>
      </c>
      <c r="C1188" s="21" t="s">
        <v>501</v>
      </c>
      <c r="D1188" s="24">
        <v>7</v>
      </c>
      <c r="E1188" t="s">
        <v>554</v>
      </c>
      <c r="F1188">
        <v>0.4154439406895884</v>
      </c>
      <c r="G1188">
        <v>15.076047042477173</v>
      </c>
      <c r="H1188">
        <v>1.7518545326154116</v>
      </c>
      <c r="I1188">
        <v>21.502088777191553</v>
      </c>
      <c r="J1188">
        <v>2.4074356388343335E-2</v>
      </c>
      <c r="K1188">
        <v>3.0017226313818499</v>
      </c>
      <c r="L1188">
        <v>0.23374607149564894</v>
      </c>
      <c r="M1188">
        <v>0.58841837238221184</v>
      </c>
      <c r="N1188">
        <v>0.37948630474928463</v>
      </c>
      <c r="O1188">
        <v>14.768874227492901</v>
      </c>
      <c r="P1188" s="3">
        <v>70.10877965990548</v>
      </c>
      <c r="Q1188" s="3">
        <v>14.84273957354473</v>
      </c>
    </row>
    <row r="1189" spans="1:17" x14ac:dyDescent="0.3">
      <c r="A1189" t="s">
        <v>667</v>
      </c>
      <c r="B1189" s="19" t="s">
        <v>668</v>
      </c>
      <c r="C1189" s="21" t="s">
        <v>669</v>
      </c>
      <c r="D1189" s="24">
        <v>7</v>
      </c>
      <c r="E1189" t="s">
        <v>554</v>
      </c>
      <c r="F1189">
        <v>0.36351344810338981</v>
      </c>
      <c r="G1189">
        <v>15.47405468439857</v>
      </c>
      <c r="H1189">
        <v>1.5824909524229853</v>
      </c>
      <c r="I1189">
        <v>21.268370420917734</v>
      </c>
      <c r="J1189">
        <v>1.9923605286904827E-2</v>
      </c>
      <c r="K1189">
        <v>2.9016652103357878</v>
      </c>
      <c r="L1189">
        <v>0.25172653853377575</v>
      </c>
      <c r="M1189">
        <v>0.38808244280836113</v>
      </c>
      <c r="N1189">
        <v>0.36399706782074237</v>
      </c>
      <c r="O1189">
        <v>15.149755720728244</v>
      </c>
      <c r="P1189" s="3">
        <v>70.121247207157595</v>
      </c>
      <c r="Q1189" s="3">
        <v>11.289206713999103</v>
      </c>
    </row>
    <row r="1190" spans="1:17" x14ac:dyDescent="0.3">
      <c r="A1190" t="s">
        <v>667</v>
      </c>
      <c r="B1190" s="19" t="s">
        <v>550</v>
      </c>
      <c r="C1190" s="21" t="s">
        <v>502</v>
      </c>
      <c r="D1190" s="24">
        <v>7</v>
      </c>
      <c r="E1190" t="s">
        <v>629</v>
      </c>
      <c r="F1190">
        <v>0.43881266235337762</v>
      </c>
      <c r="G1190">
        <v>14.65391772528781</v>
      </c>
      <c r="H1190">
        <v>1.9344496425103717</v>
      </c>
      <c r="I1190">
        <v>20.845451500181579</v>
      </c>
      <c r="J1190">
        <v>2.3244206168055632E-2</v>
      </c>
      <c r="K1190">
        <v>3.141088324981721</v>
      </c>
      <c r="L1190">
        <v>0.24273630501471236</v>
      </c>
      <c r="M1190">
        <v>0.62964999999999993</v>
      </c>
      <c r="N1190">
        <v>0.39497554167782684</v>
      </c>
      <c r="O1190">
        <v>16.012568899281778</v>
      </c>
      <c r="P1190" s="3">
        <v>67.770212598128083</v>
      </c>
      <c r="Q1190" s="3">
        <v>14.449947303076907</v>
      </c>
    </row>
    <row r="1191" spans="1:17" x14ac:dyDescent="0.3">
      <c r="A1191" t="s">
        <v>670</v>
      </c>
      <c r="B1191" s="19" t="s">
        <v>671</v>
      </c>
      <c r="C1191" s="21" t="s">
        <v>672</v>
      </c>
      <c r="D1191" s="24">
        <v>7</v>
      </c>
      <c r="E1191" t="s">
        <v>554</v>
      </c>
      <c r="F1191">
        <v>1.646938479162297</v>
      </c>
      <c r="G1191">
        <v>2.1287378423977765</v>
      </c>
      <c r="H1191">
        <v>5.9277253067349269</v>
      </c>
      <c r="I1191">
        <v>22.951142586089247</v>
      </c>
      <c r="J1191">
        <v>0.19923605286904827</v>
      </c>
      <c r="K1191">
        <v>7.1112238529165239</v>
      </c>
      <c r="L1191">
        <v>0.77915357165216315</v>
      </c>
      <c r="M1191">
        <v>9.499999999999998E-3</v>
      </c>
      <c r="N1191">
        <v>0.34850783089220017</v>
      </c>
      <c r="O1191">
        <v>16.478954401202603</v>
      </c>
      <c r="P1191" s="3">
        <v>22.887809848132683</v>
      </c>
      <c r="Q1191" s="3">
        <v>8.309573008407628E-2</v>
      </c>
    </row>
    <row r="1192" spans="1:17" x14ac:dyDescent="0.3">
      <c r="A1192" t="s">
        <v>670</v>
      </c>
      <c r="B1192" s="19" t="s">
        <v>671</v>
      </c>
      <c r="C1192" s="21" t="s">
        <v>672</v>
      </c>
      <c r="D1192" s="24">
        <v>7</v>
      </c>
      <c r="E1192" t="s">
        <v>554</v>
      </c>
      <c r="F1192">
        <v>1.5801707029800414</v>
      </c>
      <c r="G1192">
        <v>2.2553766375545852</v>
      </c>
      <c r="H1192">
        <v>5.5043163562538613</v>
      </c>
      <c r="I1192">
        <v>22.717424229815425</v>
      </c>
      <c r="J1192">
        <v>0.25734656828918734</v>
      </c>
      <c r="K1192">
        <v>7.0683421010396419</v>
      </c>
      <c r="L1192">
        <v>0.85706892881737939</v>
      </c>
      <c r="M1192">
        <v>1.04E-2</v>
      </c>
      <c r="N1192">
        <v>0.36399706782074237</v>
      </c>
      <c r="O1192">
        <v>16.634416235176214</v>
      </c>
      <c r="P1192" s="3">
        <v>23.753186609898268</v>
      </c>
      <c r="Q1192" s="3">
        <v>9.7950927239669541E-2</v>
      </c>
    </row>
    <row r="1193" spans="1:17" x14ac:dyDescent="0.3">
      <c r="A1193" t="s">
        <v>670</v>
      </c>
      <c r="B1193" s="19" t="s">
        <v>673</v>
      </c>
      <c r="C1193" s="21" t="s">
        <v>502</v>
      </c>
      <c r="D1193" s="24">
        <v>7</v>
      </c>
      <c r="E1193" t="s">
        <v>629</v>
      </c>
      <c r="F1193">
        <v>1.3798673744332757</v>
      </c>
      <c r="G1193">
        <v>3.0815440154823341</v>
      </c>
      <c r="H1193">
        <v>5.1338335245829283</v>
      </c>
      <c r="I1193">
        <v>22.577193216051128</v>
      </c>
      <c r="J1193">
        <v>0.12452253304315516</v>
      </c>
      <c r="K1193">
        <v>7.3756613228239738</v>
      </c>
      <c r="L1193">
        <v>0.55140098916922309</v>
      </c>
      <c r="M1193">
        <v>1.0263111146201369E-2</v>
      </c>
      <c r="N1193">
        <v>0.40272016014209799</v>
      </c>
      <c r="O1193">
        <v>16.71214715216302</v>
      </c>
      <c r="P1193" s="3">
        <v>29.758862669034169</v>
      </c>
      <c r="Q1193" s="3">
        <v>0.10363134978580404</v>
      </c>
    </row>
    <row r="1194" spans="1:17" x14ac:dyDescent="0.3">
      <c r="A1194" t="s">
        <v>670</v>
      </c>
      <c r="B1194" s="19" t="s">
        <v>673</v>
      </c>
      <c r="C1194" s="21" t="s">
        <v>502</v>
      </c>
      <c r="D1194" s="24">
        <v>7</v>
      </c>
      <c r="E1194" t="s">
        <v>629</v>
      </c>
      <c r="F1194">
        <v>1.4985656432017296</v>
      </c>
      <c r="G1194">
        <v>2.1287378423977765</v>
      </c>
      <c r="H1194">
        <v>5.0068108394386091</v>
      </c>
      <c r="I1194">
        <v>22.156500174758254</v>
      </c>
      <c r="J1194">
        <v>0.15772854185466323</v>
      </c>
      <c r="K1194">
        <v>6.8896681348859605</v>
      </c>
      <c r="L1194">
        <v>0.77316008263945413</v>
      </c>
      <c r="M1194">
        <v>1.0263111146201369E-2</v>
      </c>
      <c r="N1194">
        <v>0.44144325246345351</v>
      </c>
      <c r="O1194">
        <v>18.810881910806746</v>
      </c>
      <c r="P1194" s="3">
        <v>20.635989542168986</v>
      </c>
      <c r="Q1194" s="3">
        <v>0.1062576812915063</v>
      </c>
    </row>
    <row r="1195" spans="1:17" x14ac:dyDescent="0.3">
      <c r="A1195" t="s">
        <v>674</v>
      </c>
      <c r="B1195" s="19" t="s">
        <v>675</v>
      </c>
      <c r="C1195" s="21" t="s">
        <v>676</v>
      </c>
      <c r="D1195" s="24">
        <v>7</v>
      </c>
      <c r="E1195" t="s">
        <v>554</v>
      </c>
      <c r="F1195">
        <v>0.84572516497523342</v>
      </c>
      <c r="G1195">
        <v>9.9501910480349345</v>
      </c>
      <c r="H1195">
        <v>3.0432518315826638</v>
      </c>
      <c r="I1195">
        <v>21.688268819799287</v>
      </c>
      <c r="J1195">
        <v>0.13282403524603217</v>
      </c>
      <c r="K1195">
        <v>5.6532442891024841</v>
      </c>
      <c r="L1195">
        <v>0.46149865397858891</v>
      </c>
      <c r="M1195">
        <v>0.29537233878767538</v>
      </c>
      <c r="N1195">
        <v>0.35625244935647127</v>
      </c>
      <c r="O1195">
        <v>15.919291798897612</v>
      </c>
      <c r="P1195" s="3">
        <v>58.951431888629564</v>
      </c>
      <c r="Q1195" s="3">
        <v>4.7950765080396263</v>
      </c>
    </row>
    <row r="1196" spans="1:17" x14ac:dyDescent="0.3">
      <c r="A1196" t="s">
        <v>568</v>
      </c>
      <c r="B1196" s="19" t="s">
        <v>677</v>
      </c>
      <c r="C1196" s="21" t="s">
        <v>678</v>
      </c>
      <c r="D1196" s="24">
        <v>7</v>
      </c>
      <c r="E1196" t="s">
        <v>554</v>
      </c>
      <c r="F1196">
        <v>0.60090998564029752</v>
      </c>
      <c r="G1196">
        <v>15.112229555379116</v>
      </c>
      <c r="H1196">
        <v>2.1276299761673578</v>
      </c>
      <c r="I1196">
        <v>19.922152688780528</v>
      </c>
      <c r="J1196">
        <v>8.3015022028770119E-2</v>
      </c>
      <c r="K1196">
        <v>2.9231060862742297</v>
      </c>
      <c r="L1196">
        <v>0.3296418956989921</v>
      </c>
      <c r="M1196">
        <v>0.43789274223792513</v>
      </c>
      <c r="N1196">
        <v>0.35625244935647127</v>
      </c>
      <c r="O1196">
        <v>16.828743527643226</v>
      </c>
      <c r="P1196" s="3">
        <v>67.355625394557819</v>
      </c>
      <c r="Q1196" s="3">
        <v>9.6495321070368547</v>
      </c>
    </row>
    <row r="1197" spans="1:17" x14ac:dyDescent="0.3">
      <c r="A1197" t="s">
        <v>568</v>
      </c>
      <c r="B1197" s="19" t="s">
        <v>677</v>
      </c>
      <c r="C1197" s="21" t="s">
        <v>678</v>
      </c>
      <c r="D1197" s="24">
        <v>7</v>
      </c>
      <c r="E1197" t="s">
        <v>554</v>
      </c>
      <c r="F1197">
        <v>0.60832862743832583</v>
      </c>
      <c r="G1197">
        <v>12.585484071059945</v>
      </c>
      <c r="H1197">
        <v>2.1276299761673578</v>
      </c>
      <c r="I1197">
        <v>20.553192250719839</v>
      </c>
      <c r="J1197">
        <v>1.6603004405754022E-2</v>
      </c>
      <c r="K1197">
        <v>3.666389785473545</v>
      </c>
      <c r="L1197">
        <v>0.33563538471170107</v>
      </c>
      <c r="M1197">
        <v>0.43789274223792513</v>
      </c>
      <c r="N1197">
        <v>0.40272016014209799</v>
      </c>
      <c r="O1197">
        <v>16.922020628027393</v>
      </c>
      <c r="P1197" s="3">
        <v>63.084095894283777</v>
      </c>
      <c r="Q1197" s="3">
        <v>9.6495321070368547</v>
      </c>
    </row>
    <row r="1198" spans="1:17" x14ac:dyDescent="0.3">
      <c r="A1198" t="s">
        <v>679</v>
      </c>
      <c r="B1198" s="19" t="s">
        <v>680</v>
      </c>
      <c r="C1198" s="21" t="s">
        <v>681</v>
      </c>
      <c r="D1198" s="24">
        <v>7</v>
      </c>
      <c r="E1198" t="s">
        <v>554</v>
      </c>
      <c r="F1198">
        <v>1.1127962697042546</v>
      </c>
      <c r="G1198">
        <v>5.0776126439063116</v>
      </c>
      <c r="H1198">
        <v>3.4401977226586635</v>
      </c>
      <c r="I1198">
        <v>22.156500174758254</v>
      </c>
      <c r="J1198">
        <v>0.28225107489781842</v>
      </c>
      <c r="K1198">
        <v>8.8550817625764573</v>
      </c>
      <c r="L1198">
        <v>0.52143354410567833</v>
      </c>
      <c r="M1198">
        <v>5.6926056490930264E-2</v>
      </c>
      <c r="N1198">
        <v>0.4360220195384637</v>
      </c>
      <c r="O1198">
        <v>15.965930349089694</v>
      </c>
      <c r="P1198" s="3">
        <v>42.220747907006242</v>
      </c>
      <c r="Q1198" s="3">
        <v>0.8513705310178511</v>
      </c>
    </row>
    <row r="1199" spans="1:17" x14ac:dyDescent="0.3">
      <c r="A1199" t="s">
        <v>682</v>
      </c>
      <c r="B1199" s="19" t="s">
        <v>683</v>
      </c>
      <c r="C1199" s="21" t="s">
        <v>684</v>
      </c>
      <c r="D1199" s="24">
        <v>7</v>
      </c>
      <c r="E1199" t="s">
        <v>554</v>
      </c>
      <c r="F1199">
        <v>1.2908436728569352</v>
      </c>
      <c r="G1199">
        <v>4.8605175664946403</v>
      </c>
      <c r="H1199">
        <v>4.8903733780563154</v>
      </c>
      <c r="I1199">
        <v>23.876667276933578</v>
      </c>
      <c r="J1199">
        <v>0.13282403524603217</v>
      </c>
      <c r="K1199">
        <v>8.3405007400538533</v>
      </c>
      <c r="L1199">
        <v>0.37159631878795468</v>
      </c>
      <c r="M1199">
        <v>5.6789215008980917E-2</v>
      </c>
      <c r="N1199">
        <v>0.34076321242792906</v>
      </c>
      <c r="O1199">
        <v>12.763416569233341</v>
      </c>
      <c r="P1199" s="3">
        <v>46.666448322475105</v>
      </c>
      <c r="Q1199" s="3">
        <v>0.5989890060695805</v>
      </c>
    </row>
    <row r="1200" spans="1:17" x14ac:dyDescent="0.3">
      <c r="A1200" t="s">
        <v>685</v>
      </c>
      <c r="B1200" s="19" t="s">
        <v>686</v>
      </c>
      <c r="C1200" s="21" t="s">
        <v>687</v>
      </c>
      <c r="D1200" s="24">
        <v>7</v>
      </c>
      <c r="E1200" t="s">
        <v>554</v>
      </c>
      <c r="F1200">
        <v>0.77153874699494984</v>
      </c>
      <c r="G1200">
        <v>10.312016177054387</v>
      </c>
      <c r="H1200">
        <v>2.7362803424838908</v>
      </c>
      <c r="I1200">
        <v>20.847677379624855</v>
      </c>
      <c r="J1200">
        <v>6.6412017623016087E-2</v>
      </c>
      <c r="K1200">
        <v>4.8384910034416952</v>
      </c>
      <c r="L1200">
        <v>0.49146609904213362</v>
      </c>
      <c r="M1200">
        <v>0.26923561573534927</v>
      </c>
      <c r="N1200">
        <v>0.43369863399918246</v>
      </c>
      <c r="O1200">
        <v>16.556685318189412</v>
      </c>
      <c r="P1200" s="3">
        <v>58.865736761092776</v>
      </c>
      <c r="Q1200" s="3">
        <v>4.8579030296898615</v>
      </c>
    </row>
    <row r="1201" spans="1:17" x14ac:dyDescent="0.3">
      <c r="A1201" t="s">
        <v>566</v>
      </c>
      <c r="B1201" s="19" t="s">
        <v>688</v>
      </c>
      <c r="C1201" s="21" t="s">
        <v>689</v>
      </c>
      <c r="D1201" s="24">
        <v>7</v>
      </c>
      <c r="E1201" t="s">
        <v>554</v>
      </c>
      <c r="F1201">
        <v>0.5193049258619854</v>
      </c>
      <c r="G1201">
        <v>15.437872171496625</v>
      </c>
      <c r="H1201">
        <v>1.9582663959749316</v>
      </c>
      <c r="I1201">
        <v>19.445367241981927</v>
      </c>
      <c r="J1201">
        <v>8.3015022028770119E-2</v>
      </c>
      <c r="K1201">
        <v>3.3590705636892131</v>
      </c>
      <c r="L1201">
        <v>0.23973956050835787</v>
      </c>
      <c r="M1201">
        <v>0.93736415135305851</v>
      </c>
      <c r="N1201">
        <v>0.38723092321355573</v>
      </c>
      <c r="O1201">
        <v>15.468452480374143</v>
      </c>
      <c r="P1201" s="3">
        <v>69.633780292406328</v>
      </c>
      <c r="Q1201" s="3">
        <v>19.897071682794742</v>
      </c>
    </row>
    <row r="1202" spans="1:17" x14ac:dyDescent="0.3">
      <c r="A1202" t="s">
        <v>690</v>
      </c>
      <c r="B1202" s="19" t="s">
        <v>675</v>
      </c>
      <c r="C1202" s="21" t="s">
        <v>676</v>
      </c>
      <c r="D1202" s="24">
        <v>7</v>
      </c>
      <c r="E1202" t="s">
        <v>554</v>
      </c>
      <c r="F1202">
        <v>0.93474886655157385</v>
      </c>
      <c r="G1202">
        <v>6.0666013298928148</v>
      </c>
      <c r="H1202">
        <v>3.41902727513461</v>
      </c>
      <c r="I1202">
        <v>24.06266034485629</v>
      </c>
      <c r="J1202">
        <v>8.3015022028770119E-2</v>
      </c>
      <c r="K1202">
        <v>6.6609654582092475</v>
      </c>
      <c r="L1202">
        <v>0.69524472547423777</v>
      </c>
      <c r="M1202">
        <v>0.14512039160728737</v>
      </c>
      <c r="N1202">
        <v>0.39497554167782684</v>
      </c>
      <c r="O1202">
        <v>15.110890262234843</v>
      </c>
      <c r="P1202" s="3">
        <v>47.983113676758677</v>
      </c>
      <c r="Q1202" s="3">
        <v>2.1551041074847221</v>
      </c>
    </row>
    <row r="1203" spans="1:17" x14ac:dyDescent="0.3">
      <c r="A1203" t="s">
        <v>691</v>
      </c>
      <c r="B1203" s="19" t="s">
        <v>692</v>
      </c>
      <c r="C1203" s="21" t="s">
        <v>693</v>
      </c>
      <c r="D1203" s="24">
        <v>7</v>
      </c>
      <c r="E1203" t="s">
        <v>554</v>
      </c>
      <c r="F1203">
        <v>0.65284047822649605</v>
      </c>
      <c r="G1203">
        <v>9.588365919015482</v>
      </c>
      <c r="H1203">
        <v>2.5245758672433571</v>
      </c>
      <c r="I1203">
        <v>20.814956809746519</v>
      </c>
      <c r="J1203">
        <v>4.9809013217262069E-2</v>
      </c>
      <c r="K1203">
        <v>4.6598170372880139</v>
      </c>
      <c r="L1203">
        <v>0.46749214299129788</v>
      </c>
      <c r="M1203">
        <v>0.2948933936008527</v>
      </c>
      <c r="N1203">
        <v>0.39497554167782684</v>
      </c>
      <c r="O1203">
        <v>12.981063136796392</v>
      </c>
      <c r="P1203" s="3">
        <v>62.923976273170965</v>
      </c>
      <c r="Q1203" s="3">
        <v>5.71508921389756</v>
      </c>
    </row>
    <row r="1204" spans="1:17" x14ac:dyDescent="0.3">
      <c r="A1204" t="s">
        <v>694</v>
      </c>
      <c r="B1204" s="19" t="s">
        <v>695</v>
      </c>
      <c r="C1204" s="21" t="s">
        <v>696</v>
      </c>
      <c r="D1204" s="24">
        <v>7</v>
      </c>
      <c r="E1204" t="s">
        <v>554</v>
      </c>
      <c r="F1204">
        <v>1.1944013294825666</v>
      </c>
      <c r="G1204">
        <v>4.2876277788805082</v>
      </c>
      <c r="H1204">
        <v>4.2923082355018085</v>
      </c>
      <c r="I1204">
        <v>22.796888470948524</v>
      </c>
      <c r="J1204">
        <v>0.18263304846329426</v>
      </c>
      <c r="K1204">
        <v>7.3041917363625011</v>
      </c>
      <c r="L1204">
        <v>0.63530983534714836</v>
      </c>
      <c r="M1204">
        <v>6.5547069853739412E-2</v>
      </c>
      <c r="N1204">
        <v>0.37174168628501347</v>
      </c>
      <c r="O1204">
        <v>14.776647319191582</v>
      </c>
      <c r="P1204" s="3">
        <v>40.001165866717749</v>
      </c>
      <c r="Q1204" s="3">
        <v>0.78621010817453929</v>
      </c>
    </row>
    <row r="1205" spans="1:17" x14ac:dyDescent="0.3">
      <c r="A1205" t="s">
        <v>697</v>
      </c>
      <c r="B1205" s="19" t="s">
        <v>698</v>
      </c>
      <c r="C1205" s="21" t="s">
        <v>699</v>
      </c>
      <c r="D1205" s="24">
        <v>7</v>
      </c>
      <c r="E1205" t="s">
        <v>554</v>
      </c>
      <c r="F1205">
        <v>0.51188628406395709</v>
      </c>
      <c r="G1205">
        <v>11.548252034537514</v>
      </c>
      <c r="H1205">
        <v>2.820962132580104</v>
      </c>
      <c r="I1205">
        <v>22.703401128438994</v>
      </c>
      <c r="J1205">
        <v>1.6603004405754022E-2</v>
      </c>
      <c r="K1205">
        <v>4.6669639959341618</v>
      </c>
      <c r="L1205">
        <v>0.26970700557190264</v>
      </c>
      <c r="M1205">
        <v>0.34210370487337899</v>
      </c>
      <c r="N1205">
        <v>0.34850783089220017</v>
      </c>
      <c r="O1205">
        <v>13.649549022882912</v>
      </c>
      <c r="P1205" s="3">
        <v>66.032110836325927</v>
      </c>
      <c r="Q1205" s="3">
        <v>5.9205171745167497</v>
      </c>
    </row>
    <row r="1206" spans="1:17" x14ac:dyDescent="0.3">
      <c r="A1206" t="s">
        <v>697</v>
      </c>
      <c r="B1206" s="19" t="s">
        <v>700</v>
      </c>
      <c r="C1206" s="21" t="s">
        <v>502</v>
      </c>
      <c r="D1206" s="24">
        <v>7</v>
      </c>
      <c r="E1206" t="s">
        <v>554</v>
      </c>
      <c r="F1206">
        <v>0.31900159731521965</v>
      </c>
      <c r="G1206">
        <v>10.697962981341801</v>
      </c>
      <c r="H1206">
        <v>2.9903257127725307</v>
      </c>
      <c r="I1206">
        <v>23.016583725845916</v>
      </c>
      <c r="J1206">
        <v>1.6603004405754022E-2</v>
      </c>
      <c r="K1206">
        <v>4.6312292027034259</v>
      </c>
      <c r="L1206">
        <v>0.28768747261002942</v>
      </c>
      <c r="M1206">
        <v>0.34210370487337899</v>
      </c>
      <c r="N1206">
        <v>0.36399706782074237</v>
      </c>
      <c r="O1206">
        <v>12.911105311508267</v>
      </c>
      <c r="P1206" s="3">
        <v>65.56262725300185</v>
      </c>
      <c r="Q1206" s="3">
        <v>5.6039872120860252</v>
      </c>
    </row>
    <row r="1207" spans="1:17" x14ac:dyDescent="0.3">
      <c r="A1207" t="s">
        <v>701</v>
      </c>
      <c r="B1207" s="19" t="s">
        <v>698</v>
      </c>
      <c r="C1207" s="21" t="s">
        <v>702</v>
      </c>
      <c r="D1207" s="24">
        <v>7</v>
      </c>
      <c r="E1207" t="s">
        <v>554</v>
      </c>
      <c r="F1207">
        <v>0.58607270204424078</v>
      </c>
      <c r="G1207">
        <v>10.305985758237394</v>
      </c>
      <c r="H1207">
        <v>3.6730726454232498</v>
      </c>
      <c r="I1207">
        <v>19.75387547226337</v>
      </c>
      <c r="J1207">
        <v>1.6603004405754022E-2</v>
      </c>
      <c r="K1207">
        <v>4.6741109545803088</v>
      </c>
      <c r="L1207">
        <v>0.43153120891504415</v>
      </c>
      <c r="M1207">
        <v>0.19192017843396564</v>
      </c>
      <c r="N1207">
        <v>0.35625244935647127</v>
      </c>
      <c r="O1207">
        <v>17.147440287289125</v>
      </c>
      <c r="P1207" s="3">
        <v>58.000011526178447</v>
      </c>
      <c r="Q1207" s="3">
        <v>2.6398340672857232</v>
      </c>
    </row>
    <row r="1208" spans="1:17" x14ac:dyDescent="0.3">
      <c r="A1208" t="s">
        <v>703</v>
      </c>
      <c r="B1208" s="19" t="s">
        <v>692</v>
      </c>
      <c r="C1208" s="21" t="s">
        <v>693</v>
      </c>
      <c r="D1208" s="24">
        <v>7</v>
      </c>
      <c r="E1208" t="s">
        <v>554</v>
      </c>
      <c r="F1208">
        <v>0.39318801529550329</v>
      </c>
      <c r="G1208">
        <v>13.116160926955141</v>
      </c>
      <c r="H1208">
        <v>2.1435078118103981</v>
      </c>
      <c r="I1208">
        <v>21.768527703343711</v>
      </c>
      <c r="J1208">
        <v>1.6603004405754022E-2</v>
      </c>
      <c r="K1208">
        <v>3.6378019508889556</v>
      </c>
      <c r="L1208">
        <v>0.19778513741939527</v>
      </c>
      <c r="M1208">
        <v>0.3853456131693741</v>
      </c>
      <c r="N1208">
        <v>0.36399706782074237</v>
      </c>
      <c r="O1208">
        <v>14.240303991982628</v>
      </c>
      <c r="P1208" s="3">
        <v>67.910608796019403</v>
      </c>
      <c r="Q1208" s="3">
        <v>8.5328605598567453</v>
      </c>
    </row>
    <row r="1209" spans="1:17" x14ac:dyDescent="0.3">
      <c r="A1209" t="s">
        <v>704</v>
      </c>
      <c r="B1209" s="19" t="s">
        <v>695</v>
      </c>
      <c r="C1209" s="21" t="s">
        <v>696</v>
      </c>
      <c r="D1209" s="24">
        <v>7</v>
      </c>
      <c r="E1209" t="s">
        <v>554</v>
      </c>
      <c r="F1209">
        <v>0.63058455283241088</v>
      </c>
      <c r="G1209">
        <v>15.365507145692735</v>
      </c>
      <c r="H1209">
        <v>1.7624397563774383</v>
      </c>
      <c r="I1209">
        <v>19.838014080521944</v>
      </c>
      <c r="J1209">
        <v>9.9618026434524137E-2</v>
      </c>
      <c r="K1209">
        <v>2.9016652103357878</v>
      </c>
      <c r="L1209">
        <v>0.26970700557190264</v>
      </c>
      <c r="M1209">
        <v>0.45404003710794855</v>
      </c>
      <c r="N1209">
        <v>0.38723092321355573</v>
      </c>
      <c r="O1209">
        <v>16.408996575914482</v>
      </c>
      <c r="P1209" s="3">
        <v>68.269686443500674</v>
      </c>
      <c r="Q1209" s="3">
        <v>11.792109623414392</v>
      </c>
    </row>
    <row r="1210" spans="1:17" x14ac:dyDescent="0.3">
      <c r="A1210" t="s">
        <v>705</v>
      </c>
      <c r="B1210" s="19" t="s">
        <v>706</v>
      </c>
      <c r="C1210" s="21" t="s">
        <v>707</v>
      </c>
      <c r="D1210" s="24">
        <v>7</v>
      </c>
      <c r="E1210" t="s">
        <v>554</v>
      </c>
      <c r="F1210">
        <v>1.6172639119701835</v>
      </c>
      <c r="G1210">
        <v>2.4785021337832474</v>
      </c>
      <c r="H1210">
        <v>5.9065548592108748</v>
      </c>
      <c r="I1210">
        <v>22.226615681640396</v>
      </c>
      <c r="J1210">
        <v>5.8110515420139085E-2</v>
      </c>
      <c r="K1210">
        <v>6.9825785972858743</v>
      </c>
      <c r="L1210">
        <v>0.36560282977524577</v>
      </c>
      <c r="M1210">
        <v>1.0878897814973476</v>
      </c>
      <c r="N1210">
        <v>0.36399706782074237</v>
      </c>
      <c r="O1210">
        <v>17.481683230332386</v>
      </c>
      <c r="P1210" s="3">
        <v>24.571436940414699</v>
      </c>
      <c r="Q1210" s="3">
        <v>8.723923012781869</v>
      </c>
    </row>
    <row r="1211" spans="1:17" x14ac:dyDescent="0.3">
      <c r="A1211" t="s">
        <v>708</v>
      </c>
      <c r="B1211" s="19" t="s">
        <v>709</v>
      </c>
      <c r="C1211" s="21" t="s">
        <v>710</v>
      </c>
      <c r="D1211" s="24">
        <v>7</v>
      </c>
      <c r="E1211" t="s">
        <v>554</v>
      </c>
      <c r="F1211">
        <v>1.8249858823149774</v>
      </c>
      <c r="G1211">
        <v>2.6232321853910276</v>
      </c>
      <c r="H1211">
        <v>5.684265160208315</v>
      </c>
      <c r="I1211">
        <v>22.436962202286839</v>
      </c>
      <c r="J1211">
        <v>8.3015022028770119E-2</v>
      </c>
      <c r="K1211">
        <v>8.5620564580844185</v>
      </c>
      <c r="L1211">
        <v>0.38957678582608157</v>
      </c>
      <c r="M1211">
        <v>9.5789037364546123E-2</v>
      </c>
      <c r="N1211">
        <v>0.35625244935647127</v>
      </c>
      <c r="O1211">
        <v>16.214669283447471</v>
      </c>
      <c r="P1211" s="3">
        <v>27.098887535472826</v>
      </c>
      <c r="Q1211" s="3">
        <v>0.86689083273028578</v>
      </c>
    </row>
    <row r="1212" spans="1:17" x14ac:dyDescent="0.3">
      <c r="A1212" t="s">
        <v>711</v>
      </c>
      <c r="B1212" s="19" t="s">
        <v>712</v>
      </c>
      <c r="C1212" s="21" t="s">
        <v>713</v>
      </c>
      <c r="D1212" s="24">
        <v>7</v>
      </c>
      <c r="E1212" t="s">
        <v>554</v>
      </c>
      <c r="F1212">
        <v>0.94958615014763059</v>
      </c>
      <c r="G1212">
        <v>5.7349282949583165</v>
      </c>
      <c r="H1212">
        <v>3.614853914732103</v>
      </c>
      <c r="I1212">
        <v>24.570296614683027</v>
      </c>
      <c r="J1212">
        <v>0.10791952863740115</v>
      </c>
      <c r="K1212">
        <v>7.318485653654796</v>
      </c>
      <c r="L1212">
        <v>0.48547261002942471</v>
      </c>
      <c r="M1212">
        <v>0.22996211041588535</v>
      </c>
      <c r="N1212">
        <v>0.37948630474928463</v>
      </c>
      <c r="O1212">
        <v>13.843876315349924</v>
      </c>
      <c r="P1212" s="3">
        <v>48.76600466729726</v>
      </c>
      <c r="Q1212" s="3">
        <v>3.1956884863735242</v>
      </c>
    </row>
    <row r="1213" spans="1:17" x14ac:dyDescent="0.3">
      <c r="A1213" t="s">
        <v>714</v>
      </c>
      <c r="B1213" s="19" t="s">
        <v>500</v>
      </c>
      <c r="C1213" s="21" t="s">
        <v>501</v>
      </c>
      <c r="D1213" s="24">
        <v>7</v>
      </c>
      <c r="E1213" t="s">
        <v>629</v>
      </c>
      <c r="F1213">
        <v>1.1721454040884816</v>
      </c>
      <c r="G1213">
        <v>3.7690117606192932</v>
      </c>
      <c r="H1213">
        <v>5.8218730691146607</v>
      </c>
      <c r="I1213">
        <v>22.390218531032072</v>
      </c>
      <c r="J1213">
        <v>3.7356759912946548E-2</v>
      </c>
      <c r="K1213">
        <v>8.147532856607878</v>
      </c>
      <c r="L1213">
        <v>1.1028019783384462</v>
      </c>
      <c r="M1213">
        <v>6.499970392594201E-2</v>
      </c>
      <c r="N1213">
        <v>0.34850783089220017</v>
      </c>
      <c r="O1213">
        <v>14.380219642558878</v>
      </c>
      <c r="P1213" s="3">
        <v>37.586353816058107</v>
      </c>
      <c r="Q1213" s="3">
        <v>0.57602847946502134</v>
      </c>
    </row>
    <row r="1214" spans="1:17" x14ac:dyDescent="0.3">
      <c r="A1214" t="s">
        <v>714</v>
      </c>
      <c r="B1214" s="19" t="s">
        <v>715</v>
      </c>
      <c r="C1214" s="21" t="s">
        <v>716</v>
      </c>
      <c r="D1214" s="24">
        <v>7</v>
      </c>
      <c r="E1214" t="s">
        <v>629</v>
      </c>
      <c r="F1214">
        <v>1.2166572548766517</v>
      </c>
      <c r="G1214">
        <v>3.6785554783644301</v>
      </c>
      <c r="H1214">
        <v>5.8747991879247943</v>
      </c>
      <c r="I1214">
        <v>21.97887422399015</v>
      </c>
      <c r="J1214">
        <v>2.075375550719253E-2</v>
      </c>
      <c r="K1214">
        <v>7.9331240972234598</v>
      </c>
      <c r="L1214">
        <v>1.1028019783384462</v>
      </c>
      <c r="M1214">
        <v>0.95104829954799353</v>
      </c>
      <c r="N1214">
        <v>0.34928229273862726</v>
      </c>
      <c r="O1214">
        <v>14.380219642558878</v>
      </c>
      <c r="P1214" s="3">
        <v>37.018212435732089</v>
      </c>
      <c r="Q1214" s="3">
        <v>7.7496447964844144</v>
      </c>
    </row>
    <row r="1215" spans="1:17" x14ac:dyDescent="0.3">
      <c r="A1215" t="s">
        <v>714</v>
      </c>
      <c r="B1215" s="19" t="s">
        <v>717</v>
      </c>
      <c r="C1215" s="21" t="s">
        <v>502</v>
      </c>
      <c r="D1215" s="24">
        <v>7</v>
      </c>
      <c r="E1215" t="s">
        <v>554</v>
      </c>
      <c r="F1215">
        <v>1.0311912099259424</v>
      </c>
      <c r="G1215">
        <v>3.7991638547042474</v>
      </c>
      <c r="H1215">
        <v>5.1020778532968487</v>
      </c>
      <c r="I1215">
        <v>21.997571692492055</v>
      </c>
      <c r="J1215">
        <v>3.1545708370932644E-2</v>
      </c>
      <c r="K1215">
        <v>8.0760632701464061</v>
      </c>
      <c r="L1215">
        <v>1.1687303574782446</v>
      </c>
      <c r="M1215">
        <v>0.10299999999999999</v>
      </c>
      <c r="N1215">
        <v>0.37174168628501347</v>
      </c>
      <c r="O1215">
        <v>14.496816018039084</v>
      </c>
      <c r="P1215" s="3">
        <v>37.583838002708326</v>
      </c>
      <c r="Q1215" s="3">
        <v>1.0367364196240709</v>
      </c>
    </row>
    <row r="1216" spans="1:17" x14ac:dyDescent="0.3">
      <c r="A1216" t="s">
        <v>714</v>
      </c>
      <c r="B1216" s="19" t="s">
        <v>660</v>
      </c>
      <c r="C1216" s="21" t="s">
        <v>502</v>
      </c>
      <c r="D1216" s="24">
        <v>7</v>
      </c>
      <c r="E1216" t="s">
        <v>554</v>
      </c>
      <c r="F1216">
        <v>1.0311912099259424</v>
      </c>
      <c r="G1216">
        <v>3.7991638547042474</v>
      </c>
      <c r="H1216">
        <v>5.1973448671550884</v>
      </c>
      <c r="I1216">
        <v>22.436962202286839</v>
      </c>
      <c r="J1216">
        <v>3.3206008811508043E-2</v>
      </c>
      <c r="K1216">
        <v>8.2047085257770558</v>
      </c>
      <c r="L1216">
        <v>1.1867108245163716</v>
      </c>
      <c r="M1216">
        <v>0.10100000000000001</v>
      </c>
      <c r="N1216">
        <v>0.36399706782074237</v>
      </c>
      <c r="O1216">
        <v>14.893243694671789</v>
      </c>
      <c r="P1216" s="3">
        <v>36.953113881217512</v>
      </c>
      <c r="Q1216" s="3">
        <v>0.99835831137256181</v>
      </c>
    </row>
    <row r="1217" spans="1:17" x14ac:dyDescent="0.3">
      <c r="A1217" t="s">
        <v>714</v>
      </c>
      <c r="B1217" s="19" t="s">
        <v>718</v>
      </c>
      <c r="C1217" s="21" t="s">
        <v>502</v>
      </c>
      <c r="D1217" s="24">
        <v>7</v>
      </c>
      <c r="E1217" t="s">
        <v>554</v>
      </c>
      <c r="F1217">
        <v>1.016353926329886</v>
      </c>
      <c r="G1217">
        <v>3.7991638547042474</v>
      </c>
      <c r="H1217">
        <v>5.1973448671550884</v>
      </c>
      <c r="I1217">
        <v>22.399567265283029</v>
      </c>
      <c r="J1217">
        <v>3.3206008811508043E-2</v>
      </c>
      <c r="K1217">
        <v>8.1975615671309097</v>
      </c>
      <c r="L1217">
        <v>1.1867108245163716</v>
      </c>
      <c r="M1217">
        <v>0.10100000000000001</v>
      </c>
      <c r="N1217">
        <v>0.36399706782074237</v>
      </c>
      <c r="O1217">
        <v>14.901016786370471</v>
      </c>
      <c r="P1217" s="3">
        <v>36.940958284192135</v>
      </c>
      <c r="Q1217" s="3">
        <v>0.99835831137256181</v>
      </c>
    </row>
    <row r="1218" spans="1:17" x14ac:dyDescent="0.3">
      <c r="A1218" t="s">
        <v>719</v>
      </c>
      <c r="B1218" s="19" t="s">
        <v>720</v>
      </c>
      <c r="C1218" s="21" t="s">
        <v>721</v>
      </c>
      <c r="D1218" s="24">
        <v>7</v>
      </c>
      <c r="E1218" t="s">
        <v>629</v>
      </c>
      <c r="F1218">
        <v>0.43769986608367345</v>
      </c>
      <c r="G1218">
        <v>13.025704644700278</v>
      </c>
      <c r="H1218">
        <v>1.7571471444964248</v>
      </c>
      <c r="I1218">
        <v>22.249987517267783</v>
      </c>
      <c r="J1218">
        <v>6.6412017623016087E-2</v>
      </c>
      <c r="K1218">
        <v>4.0451785937193501</v>
      </c>
      <c r="L1218">
        <v>0.25772002754648471</v>
      </c>
      <c r="M1218">
        <v>0.48934513945088126</v>
      </c>
      <c r="N1218">
        <v>0.4104647786063691</v>
      </c>
      <c r="O1218">
        <v>16.012568899281778</v>
      </c>
      <c r="P1218" s="3">
        <v>65.145673585848542</v>
      </c>
      <c r="Q1218" s="3">
        <v>12.626705778825254</v>
      </c>
    </row>
    <row r="1219" spans="1:17" x14ac:dyDescent="0.3">
      <c r="A1219" t="s">
        <v>553</v>
      </c>
      <c r="B1219" s="19" t="s">
        <v>722</v>
      </c>
      <c r="C1219" s="21" t="s">
        <v>502</v>
      </c>
      <c r="D1219" s="24">
        <v>7</v>
      </c>
      <c r="E1219" t="s">
        <v>554</v>
      </c>
      <c r="F1219">
        <v>0.95700479194565891</v>
      </c>
      <c r="G1219">
        <v>5.5962286621675261</v>
      </c>
      <c r="H1219">
        <v>3.7365839879954095</v>
      </c>
      <c r="I1219">
        <v>24.007549556446918</v>
      </c>
      <c r="J1219">
        <v>0.136144636127183</v>
      </c>
      <c r="K1219">
        <v>7.1469586461472616</v>
      </c>
      <c r="L1219">
        <v>0.52143354410567833</v>
      </c>
      <c r="M1219">
        <v>0.1389</v>
      </c>
      <c r="N1219">
        <v>0.40272016014209799</v>
      </c>
      <c r="O1219">
        <v>15.0875709871388</v>
      </c>
      <c r="P1219" s="3">
        <v>46.011480808287601</v>
      </c>
      <c r="Q1219" s="3">
        <v>1.892491539690101</v>
      </c>
    </row>
    <row r="1220" spans="1:17" x14ac:dyDescent="0.3">
      <c r="A1220" t="s">
        <v>553</v>
      </c>
      <c r="B1220" s="19" t="s">
        <v>723</v>
      </c>
      <c r="C1220" s="21" t="s">
        <v>502</v>
      </c>
      <c r="D1220" s="24">
        <v>7</v>
      </c>
      <c r="E1220" t="s">
        <v>554</v>
      </c>
      <c r="F1220">
        <v>1.5379404740534259</v>
      </c>
      <c r="G1220">
        <v>5.5901982433505353</v>
      </c>
      <c r="H1220">
        <v>3.7207061523523697</v>
      </c>
      <c r="I1220">
        <v>23.540112843899273</v>
      </c>
      <c r="J1220">
        <v>0.14942703965178619</v>
      </c>
      <c r="K1220">
        <v>6.8467863830090758</v>
      </c>
      <c r="L1220">
        <v>0.50944656608026051</v>
      </c>
      <c r="M1220">
        <v>0.21</v>
      </c>
      <c r="N1220">
        <v>0.4182093970706402</v>
      </c>
      <c r="O1220">
        <v>15.033159345248038</v>
      </c>
      <c r="P1220" s="3">
        <v>46.074452405635682</v>
      </c>
      <c r="Q1220" s="3">
        <v>2.845515635809944</v>
      </c>
    </row>
    <row r="1221" spans="1:17" x14ac:dyDescent="0.3">
      <c r="A1221" t="s">
        <v>553</v>
      </c>
      <c r="B1221" s="19" t="s">
        <v>503</v>
      </c>
      <c r="C1221" s="21" t="s">
        <v>502</v>
      </c>
      <c r="D1221" s="24">
        <v>7</v>
      </c>
      <c r="E1221" t="s">
        <v>554</v>
      </c>
      <c r="F1221">
        <v>0.97184207554171564</v>
      </c>
      <c r="G1221">
        <v>5.638441593886462</v>
      </c>
      <c r="H1221">
        <v>3.0432518315826638</v>
      </c>
      <c r="I1221">
        <v>24.063641961952634</v>
      </c>
      <c r="J1221">
        <v>0.10791952863740115</v>
      </c>
      <c r="K1221">
        <v>7.325632612300943</v>
      </c>
      <c r="L1221">
        <v>0.48547261002942471</v>
      </c>
      <c r="M1221">
        <v>0.14999999999999997</v>
      </c>
      <c r="N1221">
        <v>0.37948630474928463</v>
      </c>
      <c r="O1221">
        <v>15.39072156338734</v>
      </c>
      <c r="P1221" s="3">
        <v>45.704137122739574</v>
      </c>
      <c r="Q1221" s="3">
        <v>2.4939577885395976</v>
      </c>
    </row>
    <row r="1222" spans="1:17" x14ac:dyDescent="0.3">
      <c r="A1222" t="s">
        <v>553</v>
      </c>
      <c r="B1222" s="19" t="s">
        <v>724</v>
      </c>
      <c r="C1222" s="21" t="s">
        <v>502</v>
      </c>
      <c r="D1222" s="24">
        <v>7</v>
      </c>
      <c r="E1222" t="s">
        <v>554</v>
      </c>
      <c r="F1222">
        <v>0.94958615014763059</v>
      </c>
      <c r="G1222">
        <v>5.6685936879714172</v>
      </c>
      <c r="H1222">
        <v>3.5354647365169032</v>
      </c>
      <c r="I1222">
        <v>23.418579298636889</v>
      </c>
      <c r="J1222">
        <v>0.13282403524603217</v>
      </c>
      <c r="K1222">
        <v>7.1683995220857026</v>
      </c>
      <c r="L1222">
        <v>0.55140098916922309</v>
      </c>
      <c r="M1222">
        <v>0.115</v>
      </c>
      <c r="N1222">
        <v>0.38723092321355573</v>
      </c>
      <c r="O1222">
        <v>15.662779772841155</v>
      </c>
      <c r="P1222" s="3">
        <v>45.401823458418221</v>
      </c>
      <c r="Q1222" s="3">
        <v>1.6599159892896593</v>
      </c>
    </row>
    <row r="1223" spans="1:17" x14ac:dyDescent="0.3">
      <c r="A1223" t="s">
        <v>553</v>
      </c>
      <c r="B1223" s="19" t="s">
        <v>725</v>
      </c>
      <c r="C1223" s="21" t="s">
        <v>502</v>
      </c>
      <c r="D1223" s="24">
        <v>7</v>
      </c>
      <c r="E1223" t="s">
        <v>554</v>
      </c>
      <c r="F1223">
        <v>1.0905403443101693</v>
      </c>
      <c r="G1223">
        <v>5.3972248412068273</v>
      </c>
      <c r="H1223">
        <v>4.0170924176891161</v>
      </c>
      <c r="I1223">
        <v>23.138117271108303</v>
      </c>
      <c r="J1223">
        <v>0.15689839163437552</v>
      </c>
      <c r="K1223">
        <v>6.8825211762398126</v>
      </c>
      <c r="L1223">
        <v>0.52143354410567833</v>
      </c>
      <c r="M1223">
        <v>0.2923</v>
      </c>
      <c r="N1223">
        <v>0.40117123644924374</v>
      </c>
      <c r="O1223">
        <v>15.39072156338734</v>
      </c>
      <c r="P1223" s="3">
        <v>44.621341921676468</v>
      </c>
      <c r="Q1223" s="3">
        <v>3.6385191129056826</v>
      </c>
    </row>
    <row r="1224" spans="1:17" x14ac:dyDescent="0.3">
      <c r="A1224" t="s">
        <v>697</v>
      </c>
      <c r="B1224" s="19" t="s">
        <v>726</v>
      </c>
      <c r="C1224" s="21" t="s">
        <v>727</v>
      </c>
      <c r="D1224" s="24">
        <v>7</v>
      </c>
      <c r="E1224" t="s">
        <v>554</v>
      </c>
      <c r="F1224">
        <v>0.31900159731521965</v>
      </c>
      <c r="G1224">
        <v>10.697962981341801</v>
      </c>
      <c r="H1224">
        <v>2.9903257127725307</v>
      </c>
      <c r="I1224">
        <v>23.016583725845916</v>
      </c>
      <c r="J1224">
        <v>1.6603004405754022E-2</v>
      </c>
      <c r="K1224">
        <v>4.6312292027034259</v>
      </c>
      <c r="L1224">
        <v>0.28768747261002942</v>
      </c>
      <c r="M1224">
        <v>0.31473540848350867</v>
      </c>
      <c r="N1224">
        <v>0.36399706782074237</v>
      </c>
      <c r="O1224">
        <v>12.911105311508267</v>
      </c>
      <c r="P1224" s="3">
        <v>65.56262725300185</v>
      </c>
      <c r="Q1224" s="3">
        <v>5.1788861645905158</v>
      </c>
    </row>
    <row r="1225" spans="1:17" x14ac:dyDescent="0.3">
      <c r="A1225" t="s">
        <v>728</v>
      </c>
      <c r="B1225" s="19" t="s">
        <v>729</v>
      </c>
      <c r="C1225" s="21" t="s">
        <v>730</v>
      </c>
      <c r="D1225" s="24">
        <v>7</v>
      </c>
      <c r="E1225" t="s">
        <v>629</v>
      </c>
      <c r="F1225">
        <v>0.43028122428564508</v>
      </c>
      <c r="G1225">
        <v>11.216578999603017</v>
      </c>
      <c r="H1225">
        <v>2.2387748256686382</v>
      </c>
      <c r="I1225">
        <v>21.548832448446319</v>
      </c>
      <c r="J1225">
        <v>2.075375550719253E-2</v>
      </c>
      <c r="K1225">
        <v>4.6669639959341618</v>
      </c>
      <c r="L1225">
        <v>0.40156376385149944</v>
      </c>
      <c r="M1225">
        <v>0.36262992716578174</v>
      </c>
      <c r="N1225">
        <v>0.39497554167782684</v>
      </c>
      <c r="O1225">
        <v>15.39072156338734</v>
      </c>
      <c r="P1225" s="3">
        <v>62.610100764759665</v>
      </c>
      <c r="Q1225" s="3">
        <v>7.7536570625729588</v>
      </c>
    </row>
    <row r="1226" spans="1:17" x14ac:dyDescent="0.3">
      <c r="A1226" t="s">
        <v>728</v>
      </c>
      <c r="B1226" s="19" t="s">
        <v>731</v>
      </c>
      <c r="C1226" s="21" t="s">
        <v>732</v>
      </c>
      <c r="D1226" s="24">
        <v>7</v>
      </c>
      <c r="E1226" t="s">
        <v>629</v>
      </c>
      <c r="F1226">
        <v>0.53414220945804214</v>
      </c>
      <c r="G1226">
        <v>10.287894501786422</v>
      </c>
      <c r="H1226">
        <v>2.5722093741724779</v>
      </c>
      <c r="I1226">
        <v>22.245313150142312</v>
      </c>
      <c r="J1226">
        <v>1.6603004405754022E-2</v>
      </c>
      <c r="K1226">
        <v>4.6669639959341618</v>
      </c>
      <c r="L1226">
        <v>0.37758980780066365</v>
      </c>
      <c r="M1226">
        <v>0.30105126028857349</v>
      </c>
      <c r="N1226">
        <v>0.40272016014209799</v>
      </c>
      <c r="O1226">
        <v>16.440088942709203</v>
      </c>
      <c r="P1226" s="3">
        <v>58.980105676359535</v>
      </c>
      <c r="Q1226" s="3">
        <v>5.725738069962353</v>
      </c>
    </row>
    <row r="1227" spans="1:17" x14ac:dyDescent="0.3">
      <c r="A1227" t="s">
        <v>728</v>
      </c>
      <c r="B1227" s="19" t="s">
        <v>731</v>
      </c>
      <c r="C1227" s="21" t="s">
        <v>732</v>
      </c>
      <c r="D1227" s="24">
        <v>7</v>
      </c>
      <c r="E1227" t="s">
        <v>629</v>
      </c>
      <c r="F1227">
        <v>0.57123541844818404</v>
      </c>
      <c r="G1227">
        <v>10.806510520047638</v>
      </c>
      <c r="H1227">
        <v>2.9109365345573304</v>
      </c>
      <c r="I1227">
        <v>21.076721368773192</v>
      </c>
      <c r="J1227">
        <v>1.6603004405754022E-2</v>
      </c>
      <c r="K1227">
        <v>5.2244267703336478</v>
      </c>
      <c r="L1227">
        <v>0.38957678582608157</v>
      </c>
      <c r="M1227">
        <v>0.53368177960247121</v>
      </c>
      <c r="N1227">
        <v>0.4104647786063691</v>
      </c>
      <c r="O1227">
        <v>16.222442375146152</v>
      </c>
      <c r="P1227" s="3">
        <v>60.483470702582245</v>
      </c>
      <c r="Q1227" s="3">
        <v>8.6873037809207059</v>
      </c>
    </row>
    <row r="1228" spans="1:17" x14ac:dyDescent="0.3">
      <c r="A1228" t="s">
        <v>728</v>
      </c>
      <c r="B1228" s="19" t="s">
        <v>733</v>
      </c>
      <c r="C1228" s="21" t="s">
        <v>734</v>
      </c>
      <c r="D1228" s="24">
        <v>7</v>
      </c>
      <c r="E1228" t="s">
        <v>629</v>
      </c>
      <c r="F1228">
        <v>0.53414220945804214</v>
      </c>
      <c r="G1228">
        <v>10.312016177054387</v>
      </c>
      <c r="H1228">
        <v>2.5722093741724779</v>
      </c>
      <c r="I1228">
        <v>21.595576119701082</v>
      </c>
      <c r="J1228">
        <v>1.6603004405754022E-2</v>
      </c>
      <c r="K1228">
        <v>4.6455231199957199</v>
      </c>
      <c r="L1228">
        <v>0.37758980780066365</v>
      </c>
      <c r="M1228">
        <v>0.28052503799617073</v>
      </c>
      <c r="N1228">
        <v>0.40272016014209799</v>
      </c>
      <c r="O1228">
        <v>16.478954401202603</v>
      </c>
      <c r="P1228" s="3">
        <v>58.979637415138299</v>
      </c>
      <c r="Q1228" s="3">
        <v>5.3562571963797971</v>
      </c>
    </row>
    <row r="1229" spans="1:17" x14ac:dyDescent="0.3">
      <c r="A1229" t="s">
        <v>694</v>
      </c>
      <c r="B1229" s="19" t="s">
        <v>504</v>
      </c>
      <c r="C1229" s="21" t="s">
        <v>626</v>
      </c>
      <c r="D1229" s="24">
        <v>7</v>
      </c>
      <c r="E1229" t="s">
        <v>554</v>
      </c>
      <c r="F1229">
        <v>1.1641945530249802</v>
      </c>
      <c r="G1229">
        <v>4.2411511342910719</v>
      </c>
      <c r="H1229">
        <v>4.5897196460769178</v>
      </c>
      <c r="I1229">
        <v>22.511493446458822</v>
      </c>
      <c r="J1229">
        <v>0.201785940472615</v>
      </c>
      <c r="K1229">
        <v>7.5127812072997537</v>
      </c>
      <c r="L1229">
        <v>0.69342358735532506</v>
      </c>
      <c r="M1229">
        <v>0.357376027479609</v>
      </c>
      <c r="N1229">
        <v>0.38890151686255664</v>
      </c>
      <c r="O1229">
        <v>16.246409819162935</v>
      </c>
      <c r="P1229" s="3">
        <v>37.492648071932479</v>
      </c>
      <c r="Q1229" s="3">
        <v>3.8836555692911237</v>
      </c>
    </row>
    <row r="1230" spans="1:17" x14ac:dyDescent="0.3">
      <c r="A1230" t="s">
        <v>735</v>
      </c>
      <c r="B1230" s="19" t="s">
        <v>504</v>
      </c>
      <c r="C1230" s="21" t="s">
        <v>626</v>
      </c>
      <c r="D1230" s="24">
        <v>7</v>
      </c>
      <c r="E1230" t="s">
        <v>554</v>
      </c>
      <c r="F1230">
        <v>1.2551492024128696</v>
      </c>
      <c r="G1230">
        <v>4.1695471422519983</v>
      </c>
      <c r="H1230">
        <v>4.5068030475288516</v>
      </c>
      <c r="I1230">
        <v>22.450013124210297</v>
      </c>
      <c r="J1230">
        <v>0.1717281308752201</v>
      </c>
      <c r="K1230">
        <v>7.6836230206603124</v>
      </c>
      <c r="L1230">
        <v>0.67755603991513147</v>
      </c>
      <c r="M1230">
        <v>0.3449803168702158</v>
      </c>
      <c r="N1230">
        <v>0.38934448185772352</v>
      </c>
      <c r="O1230">
        <v>16.323778660428097</v>
      </c>
      <c r="P1230" s="3">
        <v>36.983667981981604</v>
      </c>
      <c r="Q1230" s="3">
        <v>3.8204344393357363</v>
      </c>
    </row>
    <row r="1231" spans="1:17" x14ac:dyDescent="0.3">
      <c r="A1231" t="s">
        <v>736</v>
      </c>
      <c r="B1231" s="19" t="s">
        <v>504</v>
      </c>
      <c r="C1231" s="21" t="s">
        <v>626</v>
      </c>
      <c r="D1231" s="24">
        <v>7</v>
      </c>
      <c r="E1231" t="s">
        <v>554</v>
      </c>
      <c r="F1231">
        <v>0.64443884201347312</v>
      </c>
      <c r="G1231">
        <v>5.9480764724512643</v>
      </c>
      <c r="H1231">
        <v>2.2438593427736806</v>
      </c>
      <c r="I1231">
        <v>23.051659946782582</v>
      </c>
      <c r="J1231">
        <v>0.20160695409554993</v>
      </c>
      <c r="K1231">
        <v>6.6074323125003263</v>
      </c>
      <c r="L1231">
        <v>0.757690104706643</v>
      </c>
      <c r="M1231">
        <v>0.55344479554113291</v>
      </c>
      <c r="N1231">
        <v>0.44344365034755401</v>
      </c>
      <c r="O1231">
        <v>17.819755754033054</v>
      </c>
      <c r="P1231" s="3">
        <v>43.405100112966963</v>
      </c>
      <c r="Q1231" s="3">
        <v>11.346890276686912</v>
      </c>
    </row>
    <row r="1232" spans="1:17" x14ac:dyDescent="0.3">
      <c r="A1232" t="s">
        <v>736</v>
      </c>
      <c r="B1232" s="19" t="s">
        <v>504</v>
      </c>
      <c r="C1232" s="21" t="s">
        <v>626</v>
      </c>
      <c r="D1232" s="24">
        <v>7</v>
      </c>
      <c r="E1232" t="s">
        <v>554</v>
      </c>
      <c r="F1232">
        <v>0.74334464723413363</v>
      </c>
      <c r="G1232">
        <v>6.1454278536168374</v>
      </c>
      <c r="H1232">
        <v>2.4144370321522644</v>
      </c>
      <c r="I1232">
        <v>21.873135053667138</v>
      </c>
      <c r="J1232">
        <v>0.19327700528442779</v>
      </c>
      <c r="K1232">
        <v>7.2447455428315557</v>
      </c>
      <c r="L1232">
        <v>0.77845723602382988</v>
      </c>
      <c r="M1232">
        <v>0.54635465897845792</v>
      </c>
      <c r="N1232">
        <v>0.45521949003500134</v>
      </c>
      <c r="O1232">
        <v>18.361219546209608</v>
      </c>
      <c r="P1232" s="3">
        <v>43.471619185567796</v>
      </c>
      <c r="Q1232" s="3">
        <v>10.5085872450928</v>
      </c>
    </row>
    <row r="1233" spans="1:17" x14ac:dyDescent="0.3">
      <c r="A1233" t="s">
        <v>737</v>
      </c>
      <c r="B1233" s="19" t="s">
        <v>504</v>
      </c>
      <c r="C1233" s="21" t="s">
        <v>626</v>
      </c>
      <c r="D1233" s="24">
        <v>7</v>
      </c>
      <c r="E1233" t="s">
        <v>554</v>
      </c>
      <c r="F1233">
        <v>0.90142869313360086</v>
      </c>
      <c r="G1233">
        <v>4.975574845344453</v>
      </c>
      <c r="H1233">
        <v>3.6077990013090551</v>
      </c>
      <c r="I1233">
        <v>24.089180237241568</v>
      </c>
      <c r="J1233">
        <v>0.18156226543044035</v>
      </c>
      <c r="K1233">
        <v>8.018466761280056</v>
      </c>
      <c r="L1233">
        <v>0.51296802347367032</v>
      </c>
      <c r="M1233">
        <v>0.67344948812025274</v>
      </c>
      <c r="N1233">
        <v>0.37492165656907872</v>
      </c>
      <c r="O1233">
        <v>14.463250272327542</v>
      </c>
      <c r="P1233" s="3">
        <v>44.147643875009464</v>
      </c>
      <c r="Q1233" s="3">
        <v>8.8310779071133414</v>
      </c>
    </row>
    <row r="1234" spans="1:17" x14ac:dyDescent="0.3">
      <c r="A1234" t="s">
        <v>737</v>
      </c>
      <c r="B1234" s="19" t="s">
        <v>504</v>
      </c>
      <c r="C1234" s="21" t="s">
        <v>505</v>
      </c>
      <c r="D1234" s="24">
        <v>7</v>
      </c>
      <c r="E1234" t="s">
        <v>554</v>
      </c>
      <c r="F1234">
        <v>1.0663862146102931</v>
      </c>
      <c r="G1234">
        <v>5.1471945274844337</v>
      </c>
      <c r="H1234">
        <v>3.9736096795455067</v>
      </c>
      <c r="I1234">
        <v>22.660282541077578</v>
      </c>
      <c r="J1234">
        <v>0.18256969090413275</v>
      </c>
      <c r="K1234">
        <v>8.5999209281796531</v>
      </c>
      <c r="L1234">
        <v>0.53377003919276966</v>
      </c>
      <c r="M1234">
        <v>0.5646775776173123</v>
      </c>
      <c r="N1234">
        <v>0.3909474631342621</v>
      </c>
      <c r="O1234">
        <v>15.173824584508862</v>
      </c>
      <c r="P1234" s="3">
        <v>43.80149620901053</v>
      </c>
      <c r="Q1234" s="3">
        <v>6.8678259746548616</v>
      </c>
    </row>
    <row r="1235" spans="1:17" x14ac:dyDescent="0.3">
      <c r="A1235" t="s">
        <v>738</v>
      </c>
      <c r="B1235" s="19" t="s">
        <v>504</v>
      </c>
      <c r="C1235" s="21" t="s">
        <v>505</v>
      </c>
      <c r="D1235" s="24">
        <v>7</v>
      </c>
      <c r="E1235" t="s">
        <v>629</v>
      </c>
      <c r="F1235">
        <v>0.36578580921936454</v>
      </c>
      <c r="G1235">
        <v>11.729645694746218</v>
      </c>
      <c r="H1235">
        <v>2.2055405194038875</v>
      </c>
      <c r="I1235">
        <v>23.388836639629904</v>
      </c>
      <c r="J1235">
        <v>5.05424815188696E-2</v>
      </c>
      <c r="K1235">
        <v>5.1487288785696057</v>
      </c>
      <c r="L1235">
        <v>0.22332264197633839</v>
      </c>
      <c r="M1235">
        <v>2.0778304404029608</v>
      </c>
      <c r="N1235">
        <v>0.3471226263984008</v>
      </c>
      <c r="O1235">
        <v>13.574580667397791</v>
      </c>
      <c r="P1235" s="3">
        <v>66.50360615289577</v>
      </c>
      <c r="Q1235" s="3">
        <v>32.835267352704918</v>
      </c>
    </row>
    <row r="1236" spans="1:17" x14ac:dyDescent="0.3">
      <c r="A1236" t="s">
        <v>738</v>
      </c>
      <c r="B1236" s="19" t="s">
        <v>504</v>
      </c>
      <c r="C1236" s="21" t="s">
        <v>505</v>
      </c>
      <c r="D1236" s="24">
        <v>7</v>
      </c>
      <c r="E1236" t="s">
        <v>629</v>
      </c>
      <c r="F1236">
        <v>0.4111132969093933</v>
      </c>
      <c r="G1236">
        <v>12.202048447640994</v>
      </c>
      <c r="H1236">
        <v>2.3218303454586704</v>
      </c>
      <c r="I1236">
        <v>22.461903246714616</v>
      </c>
      <c r="J1236">
        <v>3.3788707147628487E-2</v>
      </c>
      <c r="K1236">
        <v>5.2898059890387508</v>
      </c>
      <c r="L1236">
        <v>0.22874112976743993</v>
      </c>
      <c r="M1236">
        <v>2.1322068849998579</v>
      </c>
      <c r="N1236">
        <v>0.36005449878389306</v>
      </c>
      <c r="O1236">
        <v>14.125632945819111</v>
      </c>
      <c r="P1236" s="3">
        <v>66.496750826446274</v>
      </c>
      <c r="Q1236" s="3">
        <v>32.274286521813131</v>
      </c>
    </row>
    <row r="1237" spans="1:17" x14ac:dyDescent="0.3">
      <c r="A1237" t="s">
        <v>739</v>
      </c>
      <c r="B1237" s="19" t="s">
        <v>504</v>
      </c>
      <c r="C1237" s="21" t="s">
        <v>505</v>
      </c>
      <c r="D1237" s="24">
        <v>7</v>
      </c>
      <c r="E1237" t="s">
        <v>629</v>
      </c>
      <c r="F1237">
        <v>0.61384574350932175</v>
      </c>
      <c r="G1237">
        <v>11.247653819804832</v>
      </c>
      <c r="H1237">
        <v>2.9876709894719937</v>
      </c>
      <c r="I1237">
        <v>22.390330973137726</v>
      </c>
      <c r="J1237">
        <v>2.3685176312820164E-2</v>
      </c>
      <c r="K1237">
        <v>5.1000761837994952</v>
      </c>
      <c r="L1237">
        <v>0.31124433418471242</v>
      </c>
      <c r="M1237">
        <v>1.8131213623756448</v>
      </c>
      <c r="N1237">
        <v>0.35993591662882879</v>
      </c>
      <c r="O1237">
        <v>14.300103079190329</v>
      </c>
      <c r="P1237" s="3">
        <v>64.377591386934071</v>
      </c>
      <c r="Q1237" s="3">
        <v>23.949664834375913</v>
      </c>
    </row>
    <row r="1238" spans="1:17" x14ac:dyDescent="0.3">
      <c r="A1238" t="s">
        <v>740</v>
      </c>
      <c r="B1238" s="19" t="s">
        <v>504</v>
      </c>
      <c r="C1238" s="21" t="s">
        <v>505</v>
      </c>
      <c r="D1238" s="24">
        <v>7</v>
      </c>
      <c r="E1238" t="s">
        <v>629</v>
      </c>
      <c r="F1238">
        <v>0.83253296266254495</v>
      </c>
      <c r="G1238">
        <v>9.6545964869631842</v>
      </c>
      <c r="H1238">
        <v>3.0575696205530405</v>
      </c>
      <c r="I1238">
        <v>21.511611585224671</v>
      </c>
      <c r="J1238">
        <v>0.13249852930881251</v>
      </c>
      <c r="K1238">
        <v>5.0417821946661707</v>
      </c>
      <c r="L1238">
        <v>0.4303830359374427</v>
      </c>
      <c r="M1238">
        <v>1.6409726116614269</v>
      </c>
      <c r="N1238">
        <v>0.38770517193371196</v>
      </c>
      <c r="O1238">
        <v>17.002881384278336</v>
      </c>
      <c r="P1238" s="3">
        <v>56.609817157495762</v>
      </c>
      <c r="Q1238" s="3">
        <v>21.783496045866162</v>
      </c>
    </row>
    <row r="1239" spans="1:17" x14ac:dyDescent="0.3">
      <c r="A1239" t="s">
        <v>741</v>
      </c>
      <c r="B1239" s="19" t="s">
        <v>504</v>
      </c>
      <c r="C1239" s="21" t="s">
        <v>505</v>
      </c>
      <c r="D1239" s="24">
        <v>7</v>
      </c>
      <c r="E1239" t="s">
        <v>629</v>
      </c>
      <c r="F1239">
        <v>0.60965895689146465</v>
      </c>
      <c r="G1239">
        <v>10.804438139594179</v>
      </c>
      <c r="H1239">
        <v>3.116940156545736</v>
      </c>
      <c r="I1239">
        <v>22.629933877341603</v>
      </c>
      <c r="J1239">
        <v>3.7050120605173494E-2</v>
      </c>
      <c r="K1239">
        <v>5.4376513343104724</v>
      </c>
      <c r="L1239">
        <v>0.31084652882959318</v>
      </c>
      <c r="M1239">
        <v>1.9720629612113796</v>
      </c>
      <c r="N1239">
        <v>0.35824296356330743</v>
      </c>
      <c r="O1239">
        <v>13.924133467842305</v>
      </c>
      <c r="P1239" s="3">
        <v>64.06603359367837</v>
      </c>
      <c r="Q1239" s="3">
        <v>24.716900372490713</v>
      </c>
    </row>
    <row r="1240" spans="1:17" x14ac:dyDescent="0.3">
      <c r="A1240" t="s">
        <v>742</v>
      </c>
      <c r="B1240" s="19" t="s">
        <v>504</v>
      </c>
      <c r="C1240" s="21" t="s">
        <v>505</v>
      </c>
      <c r="D1240" s="24">
        <v>7</v>
      </c>
      <c r="E1240" t="s">
        <v>629</v>
      </c>
      <c r="F1240">
        <v>0.96165395276382371</v>
      </c>
      <c r="G1240">
        <v>5.3471378026159195</v>
      </c>
      <c r="H1240">
        <v>3.7677856411941275</v>
      </c>
      <c r="I1240">
        <v>24.396108742697994</v>
      </c>
      <c r="J1240">
        <v>0.12349385453759999</v>
      </c>
      <c r="K1240">
        <v>8.1643635254247311</v>
      </c>
      <c r="L1240">
        <v>0.45355210142472602</v>
      </c>
      <c r="M1240">
        <v>0.5675749586139881</v>
      </c>
      <c r="N1240">
        <v>0.348865965731884</v>
      </c>
      <c r="O1240">
        <v>13.270152255217521</v>
      </c>
      <c r="P1240" s="3">
        <v>48.074502974192598</v>
      </c>
      <c r="Q1240" s="3">
        <v>7.2502656078156287</v>
      </c>
    </row>
    <row r="1241" spans="1:17" x14ac:dyDescent="0.3">
      <c r="A1241" t="s">
        <v>743</v>
      </c>
      <c r="B1241" s="19" t="s">
        <v>504</v>
      </c>
      <c r="C1241" s="21" t="s">
        <v>505</v>
      </c>
      <c r="D1241" s="24">
        <v>7</v>
      </c>
      <c r="E1241" t="s">
        <v>629</v>
      </c>
      <c r="F1241">
        <v>0.50659985902023508</v>
      </c>
      <c r="G1241">
        <v>10.544693067386566</v>
      </c>
      <c r="H1241">
        <v>2.7218717776751076</v>
      </c>
      <c r="I1241">
        <v>21.98540667903579</v>
      </c>
      <c r="J1241">
        <v>2.3394152332486012E-2</v>
      </c>
      <c r="K1241">
        <v>5.0822741771380766</v>
      </c>
      <c r="L1241">
        <v>0.38612687944573115</v>
      </c>
      <c r="M1241">
        <v>2.0844641105090078</v>
      </c>
      <c r="N1241">
        <v>0.38584621092518678</v>
      </c>
      <c r="O1241">
        <v>16.223496300570112</v>
      </c>
      <c r="P1241" s="3">
        <v>59.894231745626058</v>
      </c>
      <c r="Q1241" s="3">
        <v>28.43867394199593</v>
      </c>
    </row>
    <row r="1242" spans="1:17" x14ac:dyDescent="0.3">
      <c r="A1242" t="s">
        <v>743</v>
      </c>
      <c r="B1242" s="19" t="s">
        <v>504</v>
      </c>
      <c r="C1242" s="21" t="s">
        <v>505</v>
      </c>
      <c r="D1242" s="24">
        <v>7</v>
      </c>
      <c r="E1242" t="s">
        <v>629</v>
      </c>
      <c r="F1242">
        <v>0.78356277951658149</v>
      </c>
      <c r="G1242">
        <v>11.630577803964487</v>
      </c>
      <c r="H1242">
        <v>2.6498820492377679</v>
      </c>
      <c r="I1242">
        <v>20.347520097198878</v>
      </c>
      <c r="J1242">
        <v>3.8516260397920762E-2</v>
      </c>
      <c r="K1242">
        <v>6.4074131188707435</v>
      </c>
      <c r="L1242">
        <v>0.32330713188088483</v>
      </c>
      <c r="M1242">
        <v>2.1290000911904485</v>
      </c>
      <c r="N1242">
        <v>0.23443133548228917</v>
      </c>
      <c r="O1242">
        <v>16.315068945916448</v>
      </c>
      <c r="P1242" s="3">
        <v>62.091797868050676</v>
      </c>
      <c r="Q1242" s="3">
        <v>29.424414484846324</v>
      </c>
    </row>
    <row r="1243" spans="1:17" x14ac:dyDescent="0.3">
      <c r="A1243" t="s">
        <v>614</v>
      </c>
      <c r="B1243" s="19" t="s">
        <v>504</v>
      </c>
      <c r="C1243" s="21" t="s">
        <v>505</v>
      </c>
      <c r="D1243" s="24">
        <v>7</v>
      </c>
      <c r="E1243" t="s">
        <v>629</v>
      </c>
      <c r="F1243">
        <v>1.3935029706756117</v>
      </c>
      <c r="G1243">
        <v>4.5301226937337029</v>
      </c>
      <c r="H1243">
        <v>5.5479916875493585</v>
      </c>
      <c r="I1243">
        <v>24.200541548489817</v>
      </c>
      <c r="J1243">
        <v>0.11650580011745994</v>
      </c>
      <c r="K1243">
        <v>8.0842927238922293</v>
      </c>
      <c r="L1243">
        <v>0.32290427943464423</v>
      </c>
      <c r="M1243">
        <v>0.26407722346321527</v>
      </c>
      <c r="N1243">
        <v>0.31729384137058353</v>
      </c>
      <c r="O1243">
        <v>12.065600593232178</v>
      </c>
      <c r="P1243" s="3">
        <v>46.313910996192746</v>
      </c>
      <c r="Q1243" s="3">
        <v>2.4104745604101323</v>
      </c>
    </row>
    <row r="1244" spans="1:17" x14ac:dyDescent="0.3">
      <c r="A1244" t="s">
        <v>744</v>
      </c>
      <c r="B1244" s="19" t="s">
        <v>504</v>
      </c>
      <c r="C1244" s="21" t="s">
        <v>505</v>
      </c>
      <c r="D1244" s="24">
        <v>7</v>
      </c>
      <c r="E1244" t="s">
        <v>629</v>
      </c>
      <c r="F1244">
        <v>1.1700522637815118</v>
      </c>
      <c r="G1244">
        <v>3.8687685904678948</v>
      </c>
      <c r="H1244">
        <v>4.6911376332816532</v>
      </c>
      <c r="I1244">
        <v>25.757912429408737</v>
      </c>
      <c r="J1244">
        <v>0.25407882369620599</v>
      </c>
      <c r="K1244">
        <v>9.8161346852019857</v>
      </c>
      <c r="L1244">
        <v>0.28534766771408704</v>
      </c>
      <c r="M1244">
        <v>0.25225694232340157</v>
      </c>
      <c r="N1244">
        <v>0.28882757438673862</v>
      </c>
      <c r="O1244">
        <v>9.9178413208592229</v>
      </c>
      <c r="P1244" s="3">
        <v>47.265204068726241</v>
      </c>
      <c r="Q1244" s="3">
        <v>2.7146667651848566</v>
      </c>
    </row>
    <row r="1245" spans="1:17" x14ac:dyDescent="0.3">
      <c r="A1245" t="s">
        <v>745</v>
      </c>
      <c r="B1245" s="19" t="s">
        <v>504</v>
      </c>
      <c r="C1245" s="21" t="s">
        <v>505</v>
      </c>
      <c r="D1245" s="24">
        <v>7</v>
      </c>
      <c r="E1245" t="s">
        <v>629</v>
      </c>
      <c r="F1245">
        <v>1.3272995313865428</v>
      </c>
      <c r="G1245">
        <v>4.4832510543255015</v>
      </c>
      <c r="H1245">
        <v>5.1605714605205213</v>
      </c>
      <c r="I1245">
        <v>24.541713349078904</v>
      </c>
      <c r="J1245">
        <v>0.1107060609332032</v>
      </c>
      <c r="K1245">
        <v>7.7936828873372157</v>
      </c>
      <c r="L1245">
        <v>0.33787244635526525</v>
      </c>
      <c r="M1245">
        <v>0.28617869010071945</v>
      </c>
      <c r="N1245">
        <v>0.3264216764979469</v>
      </c>
      <c r="O1245">
        <v>12.448303744408323</v>
      </c>
      <c r="P1245" s="3">
        <v>45.280640286946692</v>
      </c>
      <c r="Q1245" s="3">
        <v>2.7971934501337006</v>
      </c>
    </row>
    <row r="1246" spans="1:17" x14ac:dyDescent="0.3">
      <c r="A1246" t="s">
        <v>746</v>
      </c>
      <c r="B1246" s="19" t="s">
        <v>504</v>
      </c>
      <c r="C1246" s="21" t="s">
        <v>505</v>
      </c>
      <c r="D1246" s="24">
        <v>7</v>
      </c>
      <c r="E1246" t="s">
        <v>629</v>
      </c>
      <c r="F1246">
        <v>0.37211983772308405</v>
      </c>
      <c r="G1246">
        <v>18.244415000596483</v>
      </c>
      <c r="H1246">
        <v>1.4334033707455991</v>
      </c>
      <c r="I1246">
        <v>18.725617157975773</v>
      </c>
      <c r="J1246">
        <v>3.7744137708141258E-2</v>
      </c>
      <c r="K1246">
        <v>3.140904297835132</v>
      </c>
      <c r="L1246">
        <v>0.23460754200433481</v>
      </c>
      <c r="M1246">
        <v>2.8354951323602973</v>
      </c>
      <c r="N1246">
        <v>0.22906569545693975</v>
      </c>
      <c r="O1246">
        <v>16.230080485776202</v>
      </c>
      <c r="P1246" s="3">
        <v>72.089200811232885</v>
      </c>
      <c r="Q1246" s="3">
        <v>50.654166673684934</v>
      </c>
    </row>
    <row r="1247" spans="1:17" x14ac:dyDescent="0.3">
      <c r="A1247" t="s">
        <v>747</v>
      </c>
      <c r="B1247" s="19" t="s">
        <v>504</v>
      </c>
      <c r="C1247" s="21" t="s">
        <v>505</v>
      </c>
      <c r="D1247" s="24">
        <v>7</v>
      </c>
      <c r="E1247" t="s">
        <v>554</v>
      </c>
      <c r="F1247">
        <v>0.41411661446527925</v>
      </c>
      <c r="G1247">
        <v>17.544746507441189</v>
      </c>
      <c r="H1247">
        <v>1.3196153663480945</v>
      </c>
      <c r="I1247">
        <v>18.924774805654341</v>
      </c>
      <c r="J1247">
        <v>3.5075745537372E-2</v>
      </c>
      <c r="K1247">
        <v>3.0800913975448898</v>
      </c>
      <c r="L1247">
        <v>0.26919781913628343</v>
      </c>
      <c r="M1247">
        <v>2.5133990325182292</v>
      </c>
      <c r="N1247">
        <v>0.22781191876405005</v>
      </c>
      <c r="O1247">
        <v>16.860784118480893</v>
      </c>
      <c r="P1247" s="3">
        <v>70.509140939910537</v>
      </c>
      <c r="Q1247" s="3">
        <v>49.707476155933676</v>
      </c>
    </row>
    <row r="1248" spans="1:17" x14ac:dyDescent="0.3">
      <c r="A1248" t="s">
        <v>748</v>
      </c>
      <c r="B1248" s="19" t="s">
        <v>504</v>
      </c>
      <c r="C1248" s="21" t="s">
        <v>505</v>
      </c>
      <c r="D1248" s="24">
        <v>7</v>
      </c>
      <c r="E1248" t="s">
        <v>629</v>
      </c>
      <c r="F1248">
        <v>0.72370970426090719</v>
      </c>
      <c r="G1248">
        <v>9.0331503431044453</v>
      </c>
      <c r="H1248">
        <v>3.2796676912194433</v>
      </c>
      <c r="I1248">
        <v>23.301890615124822</v>
      </c>
      <c r="J1248">
        <v>1.6874197420936463E-2</v>
      </c>
      <c r="K1248">
        <v>5.5409475797859873</v>
      </c>
      <c r="L1248">
        <v>0.42404650483989276</v>
      </c>
      <c r="M1248">
        <v>1.684856437025041</v>
      </c>
      <c r="N1248">
        <v>0.38148391442213175</v>
      </c>
      <c r="O1248">
        <v>14.289545535029728</v>
      </c>
      <c r="P1248" s="3">
        <v>59.224910583973802</v>
      </c>
      <c r="Q1248" s="3">
        <v>21.047600669784149</v>
      </c>
    </row>
    <row r="1249" spans="1:17" x14ac:dyDescent="0.3">
      <c r="A1249" t="s">
        <v>749</v>
      </c>
      <c r="B1249" s="19" t="s">
        <v>504</v>
      </c>
      <c r="C1249" s="21" t="s">
        <v>505</v>
      </c>
      <c r="D1249" s="24">
        <v>7</v>
      </c>
      <c r="E1249" t="s">
        <v>629</v>
      </c>
      <c r="F1249">
        <v>0.19439649351951277</v>
      </c>
      <c r="G1249">
        <v>16.239173608589205</v>
      </c>
      <c r="H1249">
        <v>0.85067310668067675</v>
      </c>
      <c r="I1249">
        <v>22.942595445631557</v>
      </c>
      <c r="J1249">
        <v>2.5759305689558521E-2</v>
      </c>
      <c r="K1249">
        <v>2.8327498014696668</v>
      </c>
      <c r="L1249">
        <v>0.15656418701477517</v>
      </c>
      <c r="M1249">
        <v>2.6951834463074618</v>
      </c>
      <c r="N1249">
        <v>0.34555848642414877</v>
      </c>
      <c r="O1249">
        <v>13.372820347355251</v>
      </c>
      <c r="P1249" s="3">
        <v>73.61591085583126</v>
      </c>
      <c r="Q1249" s="3">
        <v>62.180034496560346</v>
      </c>
    </row>
    <row r="1250" spans="1:17" x14ac:dyDescent="0.3">
      <c r="A1250" t="s">
        <v>719</v>
      </c>
      <c r="B1250" s="19" t="s">
        <v>504</v>
      </c>
      <c r="C1250" s="21" t="s">
        <v>505</v>
      </c>
      <c r="D1250" s="24">
        <v>7</v>
      </c>
      <c r="E1250" t="s">
        <v>629</v>
      </c>
      <c r="F1250">
        <v>0.81752265950204328</v>
      </c>
      <c r="G1250">
        <v>11.340321356166998</v>
      </c>
      <c r="H1250">
        <v>2.8888645621362889</v>
      </c>
      <c r="I1250">
        <v>20.90885772153656</v>
      </c>
      <c r="J1250">
        <v>9.109972739605901E-2</v>
      </c>
      <c r="K1250">
        <v>3.3803486559626017</v>
      </c>
      <c r="L1250">
        <v>0.37248914961862001</v>
      </c>
      <c r="M1250">
        <v>2.1725659722884823</v>
      </c>
      <c r="N1250">
        <v>0.38372990546465352</v>
      </c>
      <c r="O1250">
        <v>18.195190857972662</v>
      </c>
      <c r="P1250" s="3">
        <v>58.882381607181017</v>
      </c>
      <c r="Q1250" s="3">
        <v>28.07082021241072</v>
      </c>
    </row>
    <row r="1251" spans="1:17" x14ac:dyDescent="0.3">
      <c r="A1251" t="s">
        <v>750</v>
      </c>
      <c r="B1251" s="19" t="s">
        <v>504</v>
      </c>
      <c r="C1251" s="21" t="s">
        <v>505</v>
      </c>
      <c r="D1251" s="24">
        <v>7</v>
      </c>
      <c r="E1251" t="s">
        <v>629</v>
      </c>
      <c r="F1251">
        <v>0.82668668073904983</v>
      </c>
      <c r="G1251">
        <v>9.509885206328704</v>
      </c>
      <c r="H1251">
        <v>2.9536541026537861</v>
      </c>
      <c r="I1251">
        <v>22.638157179809447</v>
      </c>
      <c r="J1251">
        <v>0.15428294740243739</v>
      </c>
      <c r="K1251">
        <v>4.5372580395109789</v>
      </c>
      <c r="L1251">
        <v>0.39526160475852024</v>
      </c>
      <c r="M1251">
        <v>1.5429961424600562</v>
      </c>
      <c r="N1251">
        <v>0.37788058018791976</v>
      </c>
      <c r="O1251">
        <v>16.220330669861799</v>
      </c>
      <c r="P1251" s="3">
        <v>57.394479193111835</v>
      </c>
      <c r="Q1251" s="3">
        <v>21.327206731611845</v>
      </c>
    </row>
    <row r="1252" spans="1:17" x14ac:dyDescent="0.3">
      <c r="A1252" t="s">
        <v>751</v>
      </c>
      <c r="B1252" s="19" t="s">
        <v>504</v>
      </c>
      <c r="C1252" s="21" t="s">
        <v>505</v>
      </c>
      <c r="D1252" s="24">
        <v>7</v>
      </c>
      <c r="E1252" t="s">
        <v>629</v>
      </c>
      <c r="F1252">
        <v>1.1042152816141395</v>
      </c>
      <c r="G1252">
        <v>4.4929919579815296</v>
      </c>
      <c r="H1252">
        <v>3.9076117190957653</v>
      </c>
      <c r="I1252">
        <v>23.263840525214849</v>
      </c>
      <c r="J1252">
        <v>0.19140392529584713</v>
      </c>
      <c r="K1252">
        <v>8.4569654406715085</v>
      </c>
      <c r="L1252">
        <v>0.55179133092670929</v>
      </c>
      <c r="M1252">
        <v>0.40797968025734505</v>
      </c>
      <c r="N1252">
        <v>0.38156525376107164</v>
      </c>
      <c r="O1252">
        <v>15.335496452862152</v>
      </c>
      <c r="P1252" s="3">
        <v>40.233305134593721</v>
      </c>
      <c r="Q1252" s="3">
        <v>5.1394536570579339</v>
      </c>
    </row>
    <row r="1253" spans="1:17" x14ac:dyDescent="0.3">
      <c r="A1253" t="s">
        <v>752</v>
      </c>
      <c r="B1253" s="19" t="s">
        <v>504</v>
      </c>
      <c r="C1253" s="21" t="s">
        <v>505</v>
      </c>
      <c r="D1253" s="24">
        <v>7</v>
      </c>
      <c r="E1253" t="s">
        <v>629</v>
      </c>
      <c r="F1253">
        <v>0.69827031469754408</v>
      </c>
      <c r="G1253">
        <v>9.1860294648761265</v>
      </c>
      <c r="H1253">
        <v>3.1216653236253182</v>
      </c>
      <c r="I1253">
        <v>22.641675832587079</v>
      </c>
      <c r="J1253">
        <v>3.9486557063772423E-2</v>
      </c>
      <c r="K1253">
        <v>5.9663330429981158</v>
      </c>
      <c r="L1253">
        <v>0.31048472752578915</v>
      </c>
      <c r="M1253">
        <v>2.8072254640720344</v>
      </c>
      <c r="N1253">
        <v>0.36631943651744397</v>
      </c>
      <c r="O1253">
        <v>15.336997433763976</v>
      </c>
      <c r="P1253" s="3">
        <v>57.915697591028888</v>
      </c>
      <c r="Q1253" s="3">
        <v>31.817601191699712</v>
      </c>
    </row>
    <row r="1254" spans="1:17" x14ac:dyDescent="0.3">
      <c r="A1254" t="s">
        <v>753</v>
      </c>
      <c r="B1254" s="19" t="s">
        <v>504</v>
      </c>
      <c r="C1254" s="21" t="s">
        <v>505</v>
      </c>
      <c r="D1254" s="24">
        <v>7</v>
      </c>
      <c r="E1254" t="s">
        <v>629</v>
      </c>
      <c r="F1254">
        <v>1.4350509126337578</v>
      </c>
      <c r="G1254">
        <v>6.2790293401559314</v>
      </c>
      <c r="H1254">
        <v>3.963700460488492</v>
      </c>
      <c r="I1254">
        <v>20.193265982058154</v>
      </c>
      <c r="J1254">
        <v>0.16651084236724167</v>
      </c>
      <c r="K1254">
        <v>10.085015432482592</v>
      </c>
      <c r="L1254">
        <v>0.60933268230283821</v>
      </c>
      <c r="M1254">
        <v>0.44497290855870208</v>
      </c>
      <c r="N1254">
        <v>0.2378874595428857</v>
      </c>
      <c r="O1254">
        <v>15.934837982294972</v>
      </c>
      <c r="P1254" s="3">
        <v>47.517181946264735</v>
      </c>
      <c r="Q1254" s="3">
        <v>5.5048616837728623</v>
      </c>
    </row>
    <row r="1255" spans="1:17" x14ac:dyDescent="0.3">
      <c r="A1255" t="s">
        <v>621</v>
      </c>
      <c r="B1255" s="19" t="s">
        <v>504</v>
      </c>
      <c r="C1255" s="21" t="s">
        <v>505</v>
      </c>
      <c r="D1255" s="24">
        <v>7</v>
      </c>
      <c r="E1255" t="s">
        <v>629</v>
      </c>
      <c r="F1255">
        <v>1.1225641031471969</v>
      </c>
      <c r="G1255">
        <v>6.8684470465030989</v>
      </c>
      <c r="H1255">
        <v>4.0066167793481258</v>
      </c>
      <c r="I1255">
        <v>20.426984338331977</v>
      </c>
      <c r="J1255">
        <v>8.5638276916727828E-3</v>
      </c>
      <c r="K1255">
        <v>10.876658024554709</v>
      </c>
      <c r="L1255">
        <v>0.41446197686439445</v>
      </c>
      <c r="M1255">
        <v>0.38542905646201669</v>
      </c>
      <c r="N1255">
        <v>0.21674267995866023</v>
      </c>
      <c r="O1255">
        <v>15.002066978453316</v>
      </c>
      <c r="P1255" s="3">
        <v>51.265928083315281</v>
      </c>
      <c r="Q1255" s="3">
        <v>4.7546091057127873</v>
      </c>
    </row>
    <row r="1256" spans="1:17" x14ac:dyDescent="0.3">
      <c r="A1256" t="s">
        <v>754</v>
      </c>
      <c r="B1256" s="19" t="s">
        <v>504</v>
      </c>
      <c r="C1256" s="21" t="s">
        <v>505</v>
      </c>
      <c r="D1256" s="24">
        <v>7</v>
      </c>
      <c r="E1256" t="s">
        <v>629</v>
      </c>
      <c r="F1256">
        <v>0.60540136244136789</v>
      </c>
      <c r="G1256">
        <v>12.611932718814598</v>
      </c>
      <c r="H1256">
        <v>2.3487503177144262</v>
      </c>
      <c r="I1256">
        <v>20.707446365860559</v>
      </c>
      <c r="J1256">
        <v>1.0090788391415622E-2</v>
      </c>
      <c r="K1256">
        <v>6.1309359491568785</v>
      </c>
      <c r="L1256">
        <v>0.26982642040080124</v>
      </c>
      <c r="M1256">
        <v>2.134078063687662</v>
      </c>
      <c r="N1256">
        <v>0.21231206188873789</v>
      </c>
      <c r="O1256">
        <v>15.546183397360949</v>
      </c>
      <c r="P1256" s="3">
        <v>65.08383134251558</v>
      </c>
      <c r="Q1256" s="3">
        <v>32.041931096179773</v>
      </c>
    </row>
    <row r="1257" spans="1:17" x14ac:dyDescent="0.3">
      <c r="A1257" t="s">
        <v>757</v>
      </c>
      <c r="B1257" s="19" t="s">
        <v>151</v>
      </c>
      <c r="C1257" s="21" t="s">
        <v>152</v>
      </c>
      <c r="D1257" s="24">
        <v>7</v>
      </c>
      <c r="E1257" t="s">
        <v>629</v>
      </c>
      <c r="F1257">
        <v>0.27448974652704944</v>
      </c>
      <c r="G1257">
        <v>17.904313467645892</v>
      </c>
      <c r="H1257">
        <v>1.3443234177773853</v>
      </c>
      <c r="I1257">
        <v>20.109127373799581</v>
      </c>
      <c r="J1257">
        <v>2.4904506608631034E-2</v>
      </c>
      <c r="K1257">
        <v>2.029736255505822</v>
      </c>
      <c r="L1257">
        <v>0.21576560445752208</v>
      </c>
      <c r="M1257">
        <v>0.68420740974675798</v>
      </c>
      <c r="N1257">
        <v>0.34850783089220017</v>
      </c>
      <c r="O1257">
        <v>15.040932436946717</v>
      </c>
      <c r="P1257" s="3">
        <v>73.226881644107451</v>
      </c>
      <c r="Q1257" s="3">
        <v>20.893088393986833</v>
      </c>
    </row>
    <row r="1258" spans="1:17" x14ac:dyDescent="0.3">
      <c r="A1258" t="s">
        <v>758</v>
      </c>
      <c r="B1258" s="19" t="s">
        <v>151</v>
      </c>
      <c r="C1258" s="21" t="s">
        <v>152</v>
      </c>
      <c r="D1258" s="24">
        <v>7</v>
      </c>
      <c r="E1258" t="s">
        <v>629</v>
      </c>
      <c r="F1258">
        <v>0.29674567192113455</v>
      </c>
      <c r="G1258">
        <v>16.746473054783642</v>
      </c>
      <c r="H1258">
        <v>2.6304281048636242</v>
      </c>
      <c r="I1258">
        <v>20.15587104505434</v>
      </c>
      <c r="J1258">
        <v>2.4904506608631034E-2</v>
      </c>
      <c r="K1258">
        <v>2.8587834584589045</v>
      </c>
      <c r="L1258">
        <v>0.22175909347023104</v>
      </c>
      <c r="M1258">
        <v>0.73894400252649861</v>
      </c>
      <c r="N1258">
        <v>0.42595401553491136</v>
      </c>
      <c r="O1258">
        <v>13.906061048939369</v>
      </c>
      <c r="P1258" s="3">
        <v>73.453619827655544</v>
      </c>
      <c r="Q1258" s="3">
        <v>12.722989207631013</v>
      </c>
    </row>
    <row r="1259" spans="1:17" x14ac:dyDescent="0.3">
      <c r="A1259" t="s">
        <v>759</v>
      </c>
      <c r="B1259" s="19" t="s">
        <v>151</v>
      </c>
      <c r="C1259" s="21" t="s">
        <v>152</v>
      </c>
      <c r="D1259" s="24">
        <v>7</v>
      </c>
      <c r="E1259" t="s">
        <v>629</v>
      </c>
      <c r="F1259">
        <v>0.35609480630536144</v>
      </c>
      <c r="G1259">
        <v>11.843742556570067</v>
      </c>
      <c r="H1259">
        <v>2.7892064612940239</v>
      </c>
      <c r="I1259">
        <v>22.764167901070188</v>
      </c>
      <c r="J1259">
        <v>8.3015022028770109E-3</v>
      </c>
      <c r="K1259">
        <v>4.5526126575958052</v>
      </c>
      <c r="L1259">
        <v>0.32364840668628314</v>
      </c>
      <c r="M1259">
        <v>0.48578726092019814</v>
      </c>
      <c r="N1259">
        <v>0.40272016014209799</v>
      </c>
      <c r="O1259">
        <v>13.462994822114581</v>
      </c>
      <c r="P1259" s="3">
        <v>66.901928642452035</v>
      </c>
      <c r="Q1259" s="3">
        <v>8.2888066072561735</v>
      </c>
    </row>
  </sheetData>
  <sortState xmlns:xlrd2="http://schemas.microsoft.com/office/spreadsheetml/2017/richdata2" ref="A2:Q1259">
    <sortCondition ref="E599:E1259"/>
  </sortState>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Clean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Yan</dc:creator>
  <cp:lastModifiedBy>Zhao Yan</cp:lastModifiedBy>
  <dcterms:created xsi:type="dcterms:W3CDTF">2015-06-05T18:19:34Z</dcterms:created>
  <dcterms:modified xsi:type="dcterms:W3CDTF">2025-11-06T02:52:19Z</dcterms:modified>
</cp:coreProperties>
</file>